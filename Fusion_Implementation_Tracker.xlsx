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Phase 0 - Install" sheetId="2" state="visible" r:id="rId4"/>
    <sheet name="2. Discovery" sheetId="3" state="visible" r:id="rId5"/>
    <sheet name="3. Module Tracker" sheetId="4" state="visible" r:id="rId6"/>
    <sheet name="4. Dependencies" sheetId="5" state="visible" r:id="rId7"/>
    <sheet name="5. SQL Validation" sheetId="6" state="visible" r:id="rId8"/>
    <sheet name="6. 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<sst xmlns="http://schemas.openxmlformats.org/spreadsheetml/2006/main" count="930" uniqueCount="361">
  <si>
    <t xml:space="preserve">Oracle Fusion Pod — Implementation Dependency &amp; RACI Tracker</t>
  </si>
  <si>
    <t xml:space="preserve">Companion tracker to the agentic onboarding guide. Drives Provision -&gt; Install -&gt; Foundation -&gt; Modules.</t>
  </si>
  <si>
    <t xml:space="preserve">How to use this workbook</t>
  </si>
  <si>
    <t xml:space="preserve">1. Phase 0 – Install</t>
  </si>
  <si>
    <t xml:space="preserve">Tick off post-provisioning install &amp; access steps before any functional setup.</t>
  </si>
  <si>
    <t xml:space="preserve">2. Discovery</t>
  </si>
  <si>
    <t xml:space="preserve">Capture the design decisions (COA, ledger, LE/BU, security, data) with the client. These anchor everything.</t>
  </si>
  <si>
    <t xml:space="preserve">3. Module Tracker</t>
  </si>
  <si>
    <t xml:space="preserve">The master list: 46 tasks across phases. Set Status + RACI owners + dates. Status drives the dashboard.</t>
  </si>
  <si>
    <t xml:space="preserve">4. Dependencies</t>
  </si>
  <si>
    <t xml:space="preserve">Every prerequisite edge, so you can see what blocks what. 'Blocked?' flags tasks whose prereqs aren't Done.</t>
  </si>
  <si>
    <t xml:space="preserve">5. SQL Validation</t>
  </si>
  <si>
    <t xml:space="preserve">Detect &amp; validate (PASS/FAIL) BIP SQL per object; run before opening downstream modules.</t>
  </si>
  <si>
    <t xml:space="preserve">6. Dashboard</t>
  </si>
  <si>
    <t xml:space="preserve">Live roll-up by pillar and phase from the Module Tracker.</t>
  </si>
  <si>
    <t xml:space="preserve">RACI legend</t>
  </si>
  <si>
    <t xml:space="preserve">R=Responsible (does the work)  A=Accountable (owns outcome)  C=Consulted  I=Informed</t>
  </si>
  <si>
    <t xml:space="preserve">Status values</t>
  </si>
  <si>
    <t xml:space="preserve">Not Started / In Progress / Done / N/A / Blocked</t>
  </si>
  <si>
    <t xml:space="preserve">Golden rule</t>
  </si>
  <si>
    <t xml:space="preserve">Foundation (Phase 1) must be Done and validated before Phase 2+ modules begin. Re-keying it later = re-implementation.</t>
  </si>
  <si>
    <t xml:space="preserve">Phase 0 — Post-Provisioning Install &amp; Access</t>
  </si>
  <si>
    <t xml:space="preserve">#</t>
  </si>
  <si>
    <t xml:space="preserve">Step</t>
  </si>
  <si>
    <t xml:space="preserve">What it covers</t>
  </si>
  <si>
    <t xml:space="preserve">Done?</t>
  </si>
  <si>
    <t xml:space="preserve">Receive pod details &amp; service admin access</t>
  </si>
  <si>
    <t xml:space="preserve">Capture test &amp; prod pod URLs, identity domain, and the initial service administrator credentials from the activation email.</t>
  </si>
  <si>
    <t xml:space="preserve">No</t>
  </si>
  <si>
    <t xml:space="preserve">Configure identity (IAM/IDCS) &amp; SSO</t>
  </si>
  <si>
    <t xml:space="preserve">Set up the identity domain, federation/SSO with the client IdP, password policy, and MFA. Provision the first implementation users.</t>
  </si>
  <si>
    <t xml:space="preserve">Security Console baseline</t>
  </si>
  <si>
    <t xml:space="preserve">Copy seeded roles to custom roles, set role hierarchy strategy, and define the data-security approach before provisioning functional users.</t>
  </si>
  <si>
    <t xml:space="preserve">Outbound email &amp; notifications</t>
  </si>
  <si>
    <t xml:space="preserve">Configure email server / from-address, BI delivery, and approval notifications so workflows and reports can send.</t>
  </si>
  <si>
    <t xml:space="preserve">Environment strategy (Test ↔ Prod, P2T)</t>
  </si>
  <si>
    <t xml:space="preserve">Confirm number of environments, refresh (P2T) cadence, and how config moves (configuration packages / migration sets) test→prod.</t>
  </si>
  <si>
    <t xml:space="preserve">Enable offerings in Functional Setup Manager</t>
  </si>
  <si>
    <t xml:space="preserve">Turn on the offerings for in-scope pillars (Financials, Procurement, SCM, HCM, CX, etc.). This is the master switch that reveals setup tasks.</t>
  </si>
  <si>
    <t xml:space="preserve">Create implementation project &amp; setup strategy</t>
  </si>
  <si>
    <t xml:space="preserve">Decide UI task-list vs export/import setup, define the implementation project, and assign setup task owners.</t>
  </si>
  <si>
    <t xml:space="preserve">Sandbox &amp; extensibility strategy</t>
  </si>
  <si>
    <t xml:space="preserve">Establish sandbox naming/governance for page/object extensions and the publish workflow.</t>
  </si>
  <si>
    <t xml:space="preserve">Release readiness process</t>
  </si>
  <si>
    <t xml:space="preserve">Set the process for quarterly Fusion updates: read what's new, regression test in test pod, then apply to prod.</t>
  </si>
  <si>
    <t xml:space="preserve">Discovery — Design Decisions (capture with client BEFORE config)</t>
  </si>
  <si>
    <t xml:space="preserve">Area</t>
  </si>
  <si>
    <t xml:space="preserve">Question</t>
  </si>
  <si>
    <t xml:space="preserve">Client Answer / Decision</t>
  </si>
  <si>
    <t xml:space="preserve">Decided By</t>
  </si>
  <si>
    <t xml:space="preserve">Program</t>
  </si>
  <si>
    <t xml:space="preserve">Which pillars are go-live wave 1 vs later?</t>
  </si>
  <si>
    <t xml:space="preserve">Target go-live date(s) and hard fiscal/regulatory deadlines?</t>
  </si>
  <si>
    <t xml:space="preserve">Legacy systems replaced and their data quality?</t>
  </si>
  <si>
    <t xml:space="preserve">Key integrations (bank, tax engine, CPQ, Eloqua, payroll)?</t>
  </si>
  <si>
    <t xml:space="preserve">Foundation (Common) · Chart of Accounts (segments &amp; value sets)</t>
  </si>
  <si>
    <t xml:space="preserve">How many segments and what (Company, Cost Center, Account, Product, Intercompany, Future)?</t>
  </si>
  <si>
    <t xml:space="preserve">Segment lengths &amp; value set sizes?</t>
  </si>
  <si>
    <t xml:space="preserve">Hierarchies/trees needed for reporting?</t>
  </si>
  <si>
    <t xml:space="preserve">Natural account = account segment qualifier?</t>
  </si>
  <si>
    <t xml:space="preserve">Foundation (Common) · Primary Ledger (+ SLA method)</t>
  </si>
  <si>
    <t xml:space="preserve">One ledger or many (multi-country)?</t>
  </si>
  <si>
    <t xml:space="preserve">Accounting method (Standard Accrual)?</t>
  </si>
  <si>
    <t xml:space="preserve">Secondary ledger / reporting currency needed?</t>
  </si>
  <si>
    <t xml:space="preserve">Ledger set / balancing rules?</t>
  </si>
  <si>
    <t xml:space="preserve">Foundation (Common) · Legal Entities &amp; jurisdictions</t>
  </si>
  <si>
    <t xml:space="preserve">How many legal entities / countries?</t>
  </si>
  <si>
    <t xml:space="preserve">Registration numbers &amp; jurisdictions?</t>
  </si>
  <si>
    <t xml:space="preserve">Which LE is the ledger's default?</t>
  </si>
  <si>
    <t xml:space="preserve">Foundation (Common) · Business Units &amp; functions</t>
  </si>
  <si>
    <t xml:space="preserve">How many BUs and on what basis (geo, line of business, shared services)?</t>
  </si>
  <si>
    <t xml:space="preserve">Which functions per BU (Payables, Receivables, Procurement, OM, Billing)?</t>
  </si>
  <si>
    <t xml:space="preserve">Shared service center model?</t>
  </si>
  <si>
    <t xml:space="preserve">Foundation (Common) · Reference Data Sets (SetID)</t>
  </si>
  <si>
    <t xml:space="preserve">Common set for all, or partitioned reference data?</t>
  </si>
  <si>
    <t xml:space="preserve">Which set-enabled objects need partitioning?</t>
  </si>
  <si>
    <t xml:space="preserve">Foundation (Common) · Security: roles, data roles, users</t>
  </si>
  <si>
    <t xml:space="preserve">SSO/IDCS federation or local accounts?</t>
  </si>
  <si>
    <t xml:space="preserve">Role mapping per persona?</t>
  </si>
  <si>
    <t xml:space="preserve">Data scoping by BU/LE/business unit security?</t>
  </si>
  <si>
    <t xml:space="preserve">SoD policy / audit requirements?</t>
  </si>
  <si>
    <t xml:space="preserve">Customer Data Cleansing · Customer Data Cleansing &amp; TCA load</t>
  </si>
  <si>
    <t xml:space="preserve">Source systems &amp; record counts?</t>
  </si>
  <si>
    <t xml:space="preserve">Dedup/match rules &amp; survivorship?</t>
  </si>
  <si>
    <t xml:space="preserve">Account vs party hierarchy needed?</t>
  </si>
  <si>
    <t xml:space="preserve">Address validation source?</t>
  </si>
  <si>
    <t xml:space="preserve">Sales account vs customer (AR) account split understood?</t>
  </si>
  <si>
    <t xml:space="preserve">Customer Data Cleansing · Customer master (Accounts &amp; Sites)</t>
  </si>
  <si>
    <t xml:space="preserve">Bill-to/ship-to site model?</t>
  </si>
  <si>
    <t xml:space="preserve">Account hierarchy/parenting?</t>
  </si>
  <si>
    <t xml:space="preserve">Payment terms per account/site?</t>
  </si>
  <si>
    <t xml:space="preserve">Sales account assignment for CX?</t>
  </si>
  <si>
    <t xml:space="preserve">SCM / Procurement / Mfg · Inventory orgs &amp; Item Master (PIM)</t>
  </si>
  <si>
    <t xml:space="preserve">Inventory org structure (master + child)?</t>
  </si>
  <si>
    <t xml:space="preserve">Item classes &amp; attributes?</t>
  </si>
  <si>
    <t xml:space="preserve">Catalogs &amp; categories?</t>
  </si>
  <si>
    <t xml:space="preserve">Conversion source for items?</t>
  </si>
  <si>
    <t xml:space="preserve">HCM · Workforce structures (Legal Employer, Depts, Jobs, Grades)</t>
  </si>
  <si>
    <t xml:space="preserve">Job vs position management?</t>
  </si>
  <si>
    <t xml:space="preserve">Department tree?</t>
  </si>
  <si>
    <t xml:space="preserve">Grades &amp; grade ladders?</t>
  </si>
  <si>
    <t xml:space="preserve">Legal employers per country?</t>
  </si>
  <si>
    <t xml:space="preserve">Module Tracker — Status, RACI &amp; Dependencies</t>
  </si>
  <si>
    <t xml:space="preserve">ID</t>
  </si>
  <si>
    <t xml:space="preserve">Phase</t>
  </si>
  <si>
    <t xml:space="preserve">Pillar</t>
  </si>
  <si>
    <t xml:space="preserve">Task</t>
  </si>
  <si>
    <t xml:space="preserve">Prerequisites</t>
  </si>
  <si>
    <t xml:space="preserve">Status</t>
  </si>
  <si>
    <t xml:space="preserve">Blocked?</t>
  </si>
  <si>
    <t xml:space="preserve">Responsible (R)</t>
  </si>
  <si>
    <t xml:space="preserve">Accountable (A)</t>
  </si>
  <si>
    <t xml:space="preserve">Consulted (C)</t>
  </si>
  <si>
    <t xml:space="preserve">Informed (I)</t>
  </si>
  <si>
    <t xml:space="preserve">Target Date</t>
  </si>
  <si>
    <t xml:space="preserve">Notes</t>
  </si>
  <si>
    <t xml:space="preserve">geo</t>
  </si>
  <si>
    <t xml:space="preserve">Foundation (Common)</t>
  </si>
  <si>
    <t xml:space="preserve">Geographies (TCA)</t>
  </si>
  <si>
    <t xml:space="preserve">—</t>
  </si>
  <si>
    <t xml:space="preserve">Not Started</t>
  </si>
  <si>
    <t xml:space="preserve">Ready</t>
  </si>
  <si>
    <t xml:space="preserve">ent</t>
  </si>
  <si>
    <t xml:space="preserve">Enterprise definition</t>
  </si>
  <si>
    <t xml:space="preserve">cur</t>
  </si>
  <si>
    <t xml:space="preserve">Currencies &amp; conversion rates</t>
  </si>
  <si>
    <t xml:space="preserve">coa</t>
  </si>
  <si>
    <t xml:space="preserve">Chart of Accounts (segments &amp; value sets)</t>
  </si>
  <si>
    <t xml:space="preserve">cal</t>
  </si>
  <si>
    <t xml:space="preserve">Accounting calendar</t>
  </si>
  <si>
    <t xml:space="preserve">led</t>
  </si>
  <si>
    <t xml:space="preserve">Primary Ledger (+ SLA method)</t>
  </si>
  <si>
    <t xml:space="preserve">Chart of Accounts (segments &amp; value sets), Accounting calendar</t>
  </si>
  <si>
    <t xml:space="preserve">le</t>
  </si>
  <si>
    <t xml:space="preserve">Legal Entities &amp; jurisdictions</t>
  </si>
  <si>
    <t xml:space="preserve">bu</t>
  </si>
  <si>
    <t xml:space="preserve">Business Units &amp; functions</t>
  </si>
  <si>
    <t xml:space="preserve">setid</t>
  </si>
  <si>
    <t xml:space="preserve">Reference Data Sets (SetID)</t>
  </si>
  <si>
    <t xml:space="preserve">loc</t>
  </si>
  <si>
    <t xml:space="preserve">Locations</t>
  </si>
  <si>
    <t xml:space="preserve">Enterprise definition, Geographies (TCA)</t>
  </si>
  <si>
    <t xml:space="preserve">sec</t>
  </si>
  <si>
    <t xml:space="preserve">Security: roles, data roles, users</t>
  </si>
  <si>
    <t xml:space="preserve">data_clean</t>
  </si>
  <si>
    <t xml:space="preserve">Customer Data Cleansing</t>
  </si>
  <si>
    <t xml:space="preserve">Customer Data Cleansing &amp; TCA load</t>
  </si>
  <si>
    <t xml:space="preserve">cust</t>
  </si>
  <si>
    <t xml:space="preserve">Customer master (Accounts &amp; Sites)</t>
  </si>
  <si>
    <t xml:space="preserve">Customer Data Cleansing &amp; TCA load, Business Units &amp; functions</t>
  </si>
  <si>
    <t xml:space="preserve">fin_gl</t>
  </si>
  <si>
    <t xml:space="preserve">ERP / Financials</t>
  </si>
  <si>
    <t xml:space="preserve">General Ledger</t>
  </si>
  <si>
    <t xml:space="preserve">Primary Ledger (+ SLA method), Security: roles, data roles, users</t>
  </si>
  <si>
    <t xml:space="preserve">fin_tax</t>
  </si>
  <si>
    <t xml:space="preserve">Tax</t>
  </si>
  <si>
    <t xml:space="preserve">Legal Entities &amp; jurisdictions, Geographies (TCA)</t>
  </si>
  <si>
    <t xml:space="preserve">scm_sup</t>
  </si>
  <si>
    <t xml:space="preserve">SCM / Procurement / Mfg</t>
  </si>
  <si>
    <t xml:space="preserve">Supplier model</t>
  </si>
  <si>
    <t xml:space="preserve">Business Units &amp; functions, Security: roles, data roles, users</t>
  </si>
  <si>
    <t xml:space="preserve">scm_inv</t>
  </si>
  <si>
    <t xml:space="preserve">Inventory orgs &amp; Item Master (PIM)</t>
  </si>
  <si>
    <t xml:space="preserve">Business Units &amp; functions, Legal Entities &amp; jurisdictions</t>
  </si>
  <si>
    <t xml:space="preserve">hcm_ws</t>
  </si>
  <si>
    <t xml:space="preserve">HCM</t>
  </si>
  <si>
    <t xml:space="preserve">Workforce structures (Legal Employer, Depts, Jobs, Grades)</t>
  </si>
  <si>
    <t xml:space="preserve">Business Units &amp; functions, Locations</t>
  </si>
  <si>
    <t xml:space="preserve">fin_cm</t>
  </si>
  <si>
    <t xml:space="preserve">Cash Management &amp; Banks</t>
  </si>
  <si>
    <t xml:space="preserve">fin_ap</t>
  </si>
  <si>
    <t xml:space="preserve">Payables (AP)</t>
  </si>
  <si>
    <t xml:space="preserve">General Ledger, Tax, Supplier model, Cash Management &amp; Banks</t>
  </si>
  <si>
    <t xml:space="preserve">fin_ar</t>
  </si>
  <si>
    <t xml:space="preserve">Receivables (AR)</t>
  </si>
  <si>
    <t xml:space="preserve">General Ledger, Tax, Customer master (Accounts &amp; Sites)</t>
  </si>
  <si>
    <t xml:space="preserve">fin_fa</t>
  </si>
  <si>
    <t xml:space="preserve">Fixed Assets (FA)</t>
  </si>
  <si>
    <t xml:space="preserve">scm_price</t>
  </si>
  <si>
    <t xml:space="preserve">Pricing</t>
  </si>
  <si>
    <t xml:space="preserve">scm_proc</t>
  </si>
  <si>
    <t xml:space="preserve">Purchasing &amp; Self-Service Procurement</t>
  </si>
  <si>
    <t xml:space="preserve">Supplier model, Inventory orgs &amp; Item Master (PIM)</t>
  </si>
  <si>
    <t xml:space="preserve">hcm_core</t>
  </si>
  <si>
    <t xml:space="preserve">Core HR (workers &amp; assignments)</t>
  </si>
  <si>
    <t xml:space="preserve">Workforce structures (Legal Employer, Depts, Jobs, Grades), Security: roles, data roles, users</t>
  </si>
  <si>
    <t xml:space="preserve">cx_res</t>
  </si>
  <si>
    <t xml:space="preserve">CX (Sales/Service/CPQ)</t>
  </si>
  <si>
    <t xml:space="preserve">CX Sales: Resources &amp; Sales hierarchy</t>
  </si>
  <si>
    <t xml:space="preserve">Security: roles, data roles, users, Customer master (Accounts &amp; Sites)</t>
  </si>
  <si>
    <t xml:space="preserve">cx_prod</t>
  </si>
  <si>
    <t xml:space="preserve">CX Sales: Products &amp; Catalog</t>
  </si>
  <si>
    <t xml:space="preserve">fin_exp</t>
  </si>
  <si>
    <t xml:space="preserve">Expenses</t>
  </si>
  <si>
    <t xml:space="preserve">Payables (AP), Core HR (workers &amp; assignments)</t>
  </si>
  <si>
    <t xml:space="preserve">scm_om</t>
  </si>
  <si>
    <t xml:space="preserve">Order Management + Global Order Promising</t>
  </si>
  <si>
    <t xml:space="preserve">Inventory orgs &amp; Item Master (PIM), Pricing, Customer master (Accounts &amp; Sites), Receivables (AR)</t>
  </si>
  <si>
    <t xml:space="preserve">scm_cost</t>
  </si>
  <si>
    <t xml:space="preserve">Cost Management</t>
  </si>
  <si>
    <t xml:space="preserve">Inventory orgs &amp; Item Master (PIM), General Ledger</t>
  </si>
  <si>
    <t xml:space="preserve">scm_mfg</t>
  </si>
  <si>
    <t xml:space="preserve">Manufacturing</t>
  </si>
  <si>
    <t xml:space="preserve">hcm_abs</t>
  </si>
  <si>
    <t xml:space="preserve">Absence Management</t>
  </si>
  <si>
    <t xml:space="preserve">hcm_pay</t>
  </si>
  <si>
    <t xml:space="preserve">Payroll</t>
  </si>
  <si>
    <t xml:space="preserve">hcm_cmp</t>
  </si>
  <si>
    <t xml:space="preserve">Compensation &amp; Benefits</t>
  </si>
  <si>
    <t xml:space="preserve">cx_terr</t>
  </si>
  <si>
    <t xml:space="preserve">CX Sales: Territories</t>
  </si>
  <si>
    <t xml:space="preserve">CX Sales: Resources &amp; Sales hierarchy, Customer master (Accounts &amp; Sites)</t>
  </si>
  <si>
    <t xml:space="preserve">cx_sales</t>
  </si>
  <si>
    <t xml:space="preserve">CX Sales: Leads, Opportunities, Forecasting</t>
  </si>
  <si>
    <t xml:space="preserve">CX Sales: Products &amp; Catalog, CX Sales: Territories</t>
  </si>
  <si>
    <t xml:space="preserve">cx_svc</t>
  </si>
  <si>
    <t xml:space="preserve">Fusion Service (Service Requests)</t>
  </si>
  <si>
    <t xml:space="preserve">Customer master (Accounts &amp; Sites), CX Sales: Products &amp; Catalog</t>
  </si>
  <si>
    <t xml:space="preserve">mnt_maint</t>
  </si>
  <si>
    <t xml:space="preserve">Maintenance &amp; Quality</t>
  </si>
  <si>
    <t xml:space="preserve">Maintenance</t>
  </si>
  <si>
    <t xml:space="preserve">Inventory orgs &amp; Item Master (PIM), Manufacturing</t>
  </si>
  <si>
    <t xml:space="preserve">mnt_qual</t>
  </si>
  <si>
    <t xml:space="preserve">Quality (Inspection)</t>
  </si>
  <si>
    <t xml:space="preserve">cx_cpq</t>
  </si>
  <si>
    <t xml:space="preserve">CPQ (Configure, Price, Quote)</t>
  </si>
  <si>
    <t xml:space="preserve">CX Sales: Leads, Opportunities, Forecasting, Pricing</t>
  </si>
  <si>
    <t xml:space="preserve">sub_sub</t>
  </si>
  <si>
    <t xml:space="preserve">CX Subscriptions</t>
  </si>
  <si>
    <t xml:space="preserve">Subscription Management</t>
  </si>
  <si>
    <t xml:space="preserve">Customer master (Accounts &amp; Sites), Pricing, Receivables (AR)</t>
  </si>
  <si>
    <t xml:space="preserve">mktg_elo</t>
  </si>
  <si>
    <t xml:space="preserve">CX Marketing &amp; Eloqua</t>
  </si>
  <si>
    <t xml:space="preserve">Marketing &amp; Eloqua</t>
  </si>
  <si>
    <t xml:space="preserve">Customer Data Cleansing &amp; TCA load, CX Sales: Leads, Opportunities, Forecasting</t>
  </si>
  <si>
    <t xml:space="preserve">prm_prm</t>
  </si>
  <si>
    <t xml:space="preserve">PRM (Partners)</t>
  </si>
  <si>
    <t xml:space="preserve">Partner Relationship Management</t>
  </si>
  <si>
    <t xml:space="preserve">CX Sales: Leads, Opportunities, Forecasting, Customer master (Accounts &amp; Sites)</t>
  </si>
  <si>
    <t xml:space="preserve">icm_part</t>
  </si>
  <si>
    <t xml:space="preserve">ICM (Incentive Comp)</t>
  </si>
  <si>
    <t xml:space="preserve">ICM: Participants &amp; roles</t>
  </si>
  <si>
    <t xml:space="preserve">CX Sales: Resources &amp; Sales hierarchy, Workforce structures (Legal Employer, Depts, Jobs, Grades)</t>
  </si>
  <si>
    <t xml:space="preserve">icm_plan</t>
  </si>
  <si>
    <t xml:space="preserve">ICM: Plans, Quota &amp; Crediting</t>
  </si>
  <si>
    <t xml:space="preserve">ICM: Participants &amp; roles, CX Sales: Territories</t>
  </si>
  <si>
    <t xml:space="preserve">icm_txn</t>
  </si>
  <si>
    <t xml:space="preserve">ICM: Transactions, Calculation &amp; Payment</t>
  </si>
  <si>
    <t xml:space="preserve">ICM: Plans, Quota &amp; Crediting, Order Management + Global Order Promising, Receivables (AR)</t>
  </si>
  <si>
    <t xml:space="preserve">Dependency Edges (Task ← requires ← Prerequisite)</t>
  </si>
  <si>
    <t xml:space="preserve">Task ID</t>
  </si>
  <si>
    <t xml:space="preserve">Requires (ID)</t>
  </si>
  <si>
    <t xml:space="preserve">Requires (Task)</t>
  </si>
  <si>
    <t xml:space="preserve">(foundational — no prerequisites)</t>
  </si>
  <si>
    <t xml:space="preserve">SQL — Detect (does it exist?) &amp; Validate (readiness). Run as BI Publisher data-model SQL.</t>
  </si>
  <si>
    <t xml:space="preserve">Object</t>
  </si>
  <si>
    <t xml:space="preserve">Detect SQL (BIP)</t>
  </si>
  <si>
    <t xml:space="preserve">Validate / Readiness Rule</t>
  </si>
  <si>
    <t xml:space="preserve">SELECT 'Geographies' obj, COUNT(*) cnt FROM hz_geographies</t>
  </si>
  <si>
    <t xml:space="preserve">Geographies exist for every country used by LE/BU/customers</t>
  </si>
  <si>
    <t xml:space="preserve">SELECT 'Enterprise' obj, COUNT(*) cnt FROM hr_organization_units hou WHERE hou.organization_type='ENTERPRISE'</t>
  </si>
  <si>
    <t xml:space="preserve">Exactly one enterprise defined</t>
  </si>
  <si>
    <t xml:space="preserve">SELECT 'Enabled Currencies' obj, COUNT(*) cnt FROM fnd_currencies WHERE enabled_flag='Y'</t>
  </si>
  <si>
    <t xml:space="preserve">Ledger currency + all transaction currencies enabled; rate types defined</t>
  </si>
  <si>
    <t xml:space="preserve">SELECT 'COA Structures' obj, COUNT(*) cnt FROM gl_code_combinations WHERE rownum&lt;2 UNION ALL SELECT 'Value Sets', COUNT(*) FROM fnd_vs_value_sets</t>
  </si>
  <si>
    <t xml:space="preserve">COA structure + instance defined, all segments mapped to value sets, qualifiers set</t>
  </si>
  <si>
    <t xml:space="preserve">SELECT 'Calendars' obj, COUNT(DISTINCT period_set_name) cnt FROM gl_periods</t>
  </si>
  <si>
    <t xml:space="preserve">Calendar covers conversion history + current + future periods</t>
  </si>
  <si>
    <t xml:space="preserve">SELECT 'Ledgers' obj, COUNT(*) cnt FROM gl_ledgers WHERE ledger_category_code='PRIMARY'</t>
  </si>
  <si>
    <t xml:space="preserve">Primary ledger complete and assigned; periods opened</t>
  </si>
  <si>
    <t xml:space="preserve">SELECT 'Legal Entities' obj, COUNT(*) cnt FROM xle_entity_profiles</t>
  </si>
  <si>
    <t xml:space="preserve">Every LE has a registration and is assigned to a ledger</t>
  </si>
  <si>
    <t xml:space="preserve">SELECT 'Business Units' obj, COUNT(*) cnt FROM fun_all_business_units_v</t>
  </si>
  <si>
    <t xml:space="preserve">Each BU has ledger + default LE + required business functions assigned</t>
  </si>
  <si>
    <t xml:space="preserve">SELECT 'Reference Sets' obj, COUNT(*) cnt FROM fnd_setid_sets</t>
  </si>
  <si>
    <t xml:space="preserve">Set determinants assigned for each BU and set-enabled object</t>
  </si>
  <si>
    <t xml:space="preserve">SELECT 'Locations' obj, COUNT(*) cnt FROM per_locations_legislative_g</t>
  </si>
  <si>
    <t xml:space="preserve">All operating sites defined with valid geography</t>
  </si>
  <si>
    <t xml:space="preserve">SELECT 'Active Users' obj, COUNT(*) cnt FROM per_users WHERE active_flag='Y'</t>
  </si>
  <si>
    <t xml:space="preserve">Admin + functional impl users provisioned with correct roles and data scope</t>
  </si>
  <si>
    <t xml:space="preserve">SELECT 'Parties' o,COUNT(*) c FROM hz_parties UNION ALL SELECT 'Cust Accounts',COUNT(*) FROM hz_cust_accounts</t>
  </si>
  <si>
    <t xml:space="preserve">Golden party set deduped, standardized, hierarchy built, ready to load</t>
  </si>
  <si>
    <t xml:space="preserve">SELECT 'Customer Sites' obj, COUNT(*) cnt FROM hz_cust_acct_sites_all</t>
  </si>
  <si>
    <t xml:space="preserve">Accounts + sites + uses loaded; reconciled to golden set; no dupes</t>
  </si>
  <si>
    <t xml:space="preserve">SELECT 'GL Journals' obj, COUNT(*) cnt FROM gl_je_headers WHERE rownum&lt;2</t>
  </si>
  <si>
    <t xml:space="preserve">Period open, journal import working, opening balances loaded &amp; reconciled</t>
  </si>
  <si>
    <t xml:space="preserve">SELECT 'Tax Regimes' obj, COUNT(*) cnt FROM zx_regimes_b</t>
  </si>
  <si>
    <t xml:space="preserve">Regimes/rates/rules tested on sample AP &amp; AR transactions</t>
  </si>
  <si>
    <t xml:space="preserve">SELECT 'Suppliers' obj, COUNT(*) cnt FROM poz_suppliers</t>
  </si>
  <si>
    <t xml:space="preserve">Suppliers + sites + bank accounts loaded &amp; deduped</t>
  </si>
  <si>
    <t xml:space="preserve">SELECT 'Inv Orgs' o,COUNT(*) c FROM inv_org_parameters UNION ALL SELECT 'Items',COUNT(*) FROM egp_system_items_b</t>
  </si>
  <si>
    <t xml:space="preserve">Inventory orgs created; item master loaded with required attributes</t>
  </si>
  <si>
    <t xml:space="preserve">SELECT 'Departments' o,COUNT(*) c FROM per_departments UNION ALL SELECT 'Jobs',COUNT(*) FROM per_jobs_f UNION ALL SELECT 'Grades',COUNT(*) FROM per_grades_f</t>
  </si>
  <si>
    <t xml:space="preserve">Legal employer(s), department tree, jobs/positions, grades all defined</t>
  </si>
  <si>
    <t xml:space="preserve">SELECT 'Bank Accounts' obj, COUNT(*) cnt FROM ce_bank_accounts</t>
  </si>
  <si>
    <t xml:space="preserve">Bank accounts set up, statement import &amp; reconciliation tested</t>
  </si>
  <si>
    <t xml:space="preserve">SELECT 'AP Invoices' obj, COUNT(*) cnt FROM ap_invoices_all WHERE rownum&lt;2</t>
  </si>
  <si>
    <t xml:space="preserve">Payment process tested; open invoices loaded &amp; reconciled</t>
  </si>
  <si>
    <t xml:space="preserve">SELECT 'AR Transactions' obj, COUNT(*) cnt FROM ra_customer_trx_all WHERE rownum&lt;2</t>
  </si>
  <si>
    <t xml:space="preserve">AutoInvoice + receipts tested; open AR loaded &amp; reconciled</t>
  </si>
  <si>
    <t xml:space="preserve">SELECT 'FA Books' obj, COUNT(*) cnt FROM fa_book_controls</t>
  </si>
  <si>
    <t xml:space="preserve">Books &amp; categories defined; asset conversion loaded; depreciation tested</t>
  </si>
  <si>
    <t xml:space="preserve">SELECT 'Price Lists' obj, COUNT(*) cnt FROM qp_pricing_pte_v WHERE rownum&lt;2</t>
  </si>
  <si>
    <t xml:space="preserve">Price lists loaded; pricing returns correct results on test orders</t>
  </si>
  <si>
    <t xml:space="preserve">SELECT 'Purchase Orders' obj, COUNT(*) cnt FROM po_headers_all WHERE rownum&lt;2</t>
  </si>
  <si>
    <t xml:space="preserve">Req-to-PO-to-receipt tested; agreements loaded</t>
  </si>
  <si>
    <t xml:space="preserve">SELECT 'Workers' obj, COUNT(*) cnt FROM per_all_people_f</t>
  </si>
  <si>
    <t xml:space="preserve">Active worker assignments loaded and reconciled to source</t>
  </si>
  <si>
    <t xml:space="preserve">SELECT 'Sales Resources' obj, COUNT(*) cnt FROM zmm_resources_v WHERE rownum&lt;2</t>
  </si>
  <si>
    <t xml:space="preserve">Resource org + hierarchy built; resources active</t>
  </si>
  <si>
    <t xml:space="preserve">SELECT 'Sales Products' obj, COUNT(*) cnt FROM qsc_products_v WHERE rownum&lt;2</t>
  </si>
  <si>
    <t xml:space="preserve">Sales catalog published and usable on opportunities</t>
  </si>
  <si>
    <t xml:space="preserve">SELECT 'Expense Reports' obj, COUNT(*) cnt FROM exm_expense_reports WHERE rownum&lt;2</t>
  </si>
  <si>
    <t xml:space="preserve">Expense submission → AP invoice tested end to end</t>
  </si>
  <si>
    <t xml:space="preserve">SELECT 'Sales Orders' obj, COUNT(*) cnt FROM doo_headers_all WHERE rownum&lt;2</t>
  </si>
  <si>
    <t xml:space="preserve">Order-to-cash flow tested across OM → fulfillment → AR</t>
  </si>
  <si>
    <t xml:space="preserve">SELECT 'Cost Orgs' obj, COUNT(*) cnt FROM cst_cost_org_books WHERE rownum&lt;2</t>
  </si>
  <si>
    <t xml:space="preserve">Cost accounting runs clean; distributions post to GL</t>
  </si>
  <si>
    <t xml:space="preserve">SELECT 'Work Orders' obj, COUNT(*) cnt FROM wie_work_orders_b WHERE rownum&lt;2</t>
  </si>
  <si>
    <t xml:space="preserve">Work order execution tested</t>
  </si>
  <si>
    <t xml:space="preserve">SELECT 'Absence Plans' obj, COUNT(*) cnt FROM anc_absence_plans_f</t>
  </si>
  <si>
    <t xml:space="preserve">Plans configured and enrolled</t>
  </si>
  <si>
    <t xml:space="preserve">SELECT 'Payroll Defns' obj, COUNT(*) cnt FROM pay_all_payrolls_f</t>
  </si>
  <si>
    <t xml:space="preserve">Payroll definitions, elements, costing, and a clean test run complete</t>
  </si>
  <si>
    <t xml:space="preserve">SELECT 'Comp Plans' obj, COUNT(*) cnt FROM cmp_salary_bases</t>
  </si>
  <si>
    <t xml:space="preserve">Plans and eligibility configured; test enrollments pass</t>
  </si>
  <si>
    <t xml:space="preserve">SELECT 'Territories' obj, COUNT(*) cnt FROM moo_terr_all_v WHERE rownum&lt;2</t>
  </si>
  <si>
    <t xml:space="preserve">Territories proposed/activated; assignment runs correctly</t>
  </si>
  <si>
    <t xml:space="preserve">SELECT 'Opportunities' obj, COUNT(*) cnt FROM moo_opty_all_b WHERE rownum&lt;2</t>
  </si>
  <si>
    <t xml:space="preserve">Lead→Opty→Forecast flow tested with real users</t>
  </si>
  <si>
    <t xml:space="preserve">SELECT 'Service Requests' obj, COUNT(*) cnt FROM svc_service_requests WHERE rownum&lt;2</t>
  </si>
  <si>
    <t xml:space="preserve">SR intake → routing → SLA → resolution tested</t>
  </si>
  <si>
    <t xml:space="preserve">SELECT 'Maint Work Orders' obj, COUNT(*) cnt FROM mnt_work_orders_b WHERE rownum&lt;2</t>
  </si>
  <si>
    <t xml:space="preserve">Asset + PM program + work order execution tested</t>
  </si>
  <si>
    <t xml:space="preserve">SELECT 'Inspection Plans' obj, COUNT(*) cnt FROM qa_plans WHERE rownum&lt;2</t>
  </si>
  <si>
    <t xml:space="preserve">Inspection plans execute and capture results at chosen points</t>
  </si>
  <si>
    <t xml:space="preserve">SELECT 'CPQ Quotes' obj, COUNT(*) cnt FROM /* CPQ is separate stack */ dual</t>
  </si>
  <si>
    <t xml:space="preserve">Quote → approval → order integration tested</t>
  </si>
  <si>
    <t xml:space="preserve">SELECT 'Subscriptions' obj, COUNT(*) cnt FROM oss_subscriptions WHERE rownum&lt;2</t>
  </si>
  <si>
    <t xml:space="preserve">Subscription → bill → AR invoice → revenue tested end to end</t>
  </si>
  <si>
    <t xml:space="preserve">SELECT 'Marketing Leads' obj, COUNT(*) cnt FROM mkt_leads WHERE rownum&lt;2</t>
  </si>
  <si>
    <t xml:space="preserve">Contact sync + scoring + lead handoff to Sales tested</t>
  </si>
  <si>
    <t xml:space="preserve">SELECT 'Partner Accounts' obj, COUNT(*) cnt FROM zpm_partners_v WHERE rownum&lt;2</t>
  </si>
  <si>
    <t xml:space="preserve">Partner onboarding + deal reg + portal tested</t>
  </si>
  <si>
    <t xml:space="preserve">SELECT 'ICM Participants' obj, COUNT(*) cnt FROM cn_srp_periods_all WHERE rownum&lt;2</t>
  </si>
  <si>
    <t xml:space="preserve">Participants loaded with roles, pay groups, and hierarchy</t>
  </si>
  <si>
    <t xml:space="preserve">SELECT 'Comp Plans' obj, COUNT(*) cnt FROM cn_comp_plans_all_b WHERE rownum&lt;2</t>
  </si>
  <si>
    <t xml:space="preserve">Plans assigned, quotas loaded, crediting validated on sample</t>
  </si>
  <si>
    <t xml:space="preserve">SELECT 'Comp Transactions' obj, COUNT(*) cnt FROM cn_tp_transactions_all WHERE rownum&lt;2</t>
  </si>
  <si>
    <t xml:space="preserve">Import → calculate → approve → pay tested with reconciled amounts</t>
  </si>
  <si>
    <t xml:space="preserve">Implementation Dashboard</t>
  </si>
  <si>
    <t xml:space="preserve">Overall</t>
  </si>
  <si>
    <t xml:space="preserve">Total tasks</t>
  </si>
  <si>
    <t xml:space="preserve">Done</t>
  </si>
  <si>
    <t xml:space="preserve">In Progress</t>
  </si>
  <si>
    <t xml:space="preserve">Blocked (flagged)</t>
  </si>
  <si>
    <t xml:space="preserve">% Complete</t>
  </si>
  <si>
    <t xml:space="preserve">By Pillar</t>
  </si>
  <si>
    <t xml:space="preserve">By Phase</t>
  </si>
  <si>
    <t xml:space="preserve">Total</t>
  </si>
  <si>
    <t xml:space="preserve">% 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</si>
</sst>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B6B7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Consolas"/>
      <family val="0"/>
      <charset val="1"/>
    </font>
    <font>
      <b val="true"/>
      <sz val="15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668B8"/>
        <bgColor rgb="FF3366FF"/>
      </patternFill>
    </fill>
    <fill>
      <patternFill patternType="solid">
        <fgColor rgb="FFFFFFFF"/>
        <bgColor rgb="FFFFFFCC"/>
      </patternFill>
    </fill>
    <fill>
      <patternFill patternType="solid">
        <fgColor rgb="FFE7F1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1FB"/>
      <rgbColor rgb="FF660066"/>
      <rgbColor rgb="FFFF8080"/>
      <rgbColor rgb="FF1668B8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4" t="s">
        <v>4</v>
      </c>
    </row>
    <row r="7" customFormat="false" ht="15" hidden="false" customHeight="false" outlineLevel="0" collapsed="false">
      <c r="B7" s="5" t="s">
        <v>5</v>
      </c>
      <c r="C7" s="4" t="s">
        <v>6</v>
      </c>
    </row>
    <row r="8" customFormat="false" ht="15" hidden="false" customHeight="false" outlineLevel="0" collapsed="false">
      <c r="B8" s="5" t="s">
        <v>7</v>
      </c>
      <c r="C8" s="4" t="s">
        <v>8</v>
      </c>
    </row>
    <row r="9" customFormat="false" ht="15" hidden="false" customHeight="false" outlineLevel="0" collapsed="false">
      <c r="B9" s="5" t="s">
        <v>9</v>
      </c>
      <c r="C9" s="4" t="s">
        <v>10</v>
      </c>
    </row>
    <row r="10" customFormat="false" ht="15" hidden="false" customHeight="false" outlineLevel="0" collapsed="false">
      <c r="B10" s="5" t="s">
        <v>11</v>
      </c>
      <c r="C10" s="4" t="s">
        <v>12</v>
      </c>
    </row>
    <row r="11" customFormat="false" ht="15" hidden="false" customHeight="false" outlineLevel="0" collapsed="false">
      <c r="B11" s="5" t="s">
        <v>13</v>
      </c>
      <c r="C11" s="4" t="s">
        <v>14</v>
      </c>
    </row>
    <row r="12" customFormat="false" ht="15" hidden="false" customHeight="false" outlineLevel="0" collapsed="false">
      <c r="B12" s="5"/>
      <c r="C12" s="4"/>
    </row>
    <row r="13" customFormat="false" ht="15" hidden="false" customHeight="false" outlineLevel="0" collapsed="false">
      <c r="B13" s="5" t="s">
        <v>15</v>
      </c>
      <c r="C13" s="4" t="s">
        <v>16</v>
      </c>
    </row>
    <row r="14" customFormat="false" ht="15" hidden="false" customHeight="false" outlineLevel="0" collapsed="false">
      <c r="B14" s="5" t="s">
        <v>17</v>
      </c>
      <c r="C14" s="4" t="s">
        <v>18</v>
      </c>
    </row>
    <row r="15" customFormat="false" ht="23.85" hidden="false" customHeight="false" outlineLevel="0" collapsed="false">
      <c r="B15" s="5" t="s">
        <v>19</v>
      </c>
      <c r="C1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6.15" hidden="false" customHeight="false" outlineLevel="0" collapsed="false">
      <c r="A1" s="6" t="s">
        <v>21</v>
      </c>
      <c r="B1" s="6"/>
      <c r="C1" s="6"/>
      <c r="D1" s="6"/>
    </row>
    <row r="3" customFormat="false" ht="15" hidden="false" customHeight="false" outlineLevel="0" collapsed="false">
      <c r="A3" s="7" t="s">
        <v>22</v>
      </c>
      <c r="B3" s="7" t="s">
        <v>23</v>
      </c>
      <c r="C3" s="7" t="s">
        <v>24</v>
      </c>
      <c r="D3" s="7" t="s">
        <v>25</v>
      </c>
    </row>
    <row r="4" customFormat="false" ht="23.85" hidden="false" customHeight="false" outlineLevel="0" collapsed="false">
      <c r="A4" s="8" t="n">
        <v>1</v>
      </c>
      <c r="B4" s="9" t="s">
        <v>26</v>
      </c>
      <c r="C4" s="10" t="s">
        <v>27</v>
      </c>
      <c r="D4" s="11" t="s">
        <v>28</v>
      </c>
    </row>
    <row r="5" customFormat="false" ht="23.85" hidden="false" customHeight="false" outlineLevel="0" collapsed="false">
      <c r="A5" s="8" t="n">
        <v>2</v>
      </c>
      <c r="B5" s="9" t="s">
        <v>29</v>
      </c>
      <c r="C5" s="10" t="s">
        <v>30</v>
      </c>
      <c r="D5" s="11" t="s">
        <v>28</v>
      </c>
    </row>
    <row r="6" customFormat="false" ht="23.85" hidden="false" customHeight="false" outlineLevel="0" collapsed="false">
      <c r="A6" s="8" t="n">
        <v>3</v>
      </c>
      <c r="B6" s="9" t="s">
        <v>31</v>
      </c>
      <c r="C6" s="10" t="s">
        <v>32</v>
      </c>
      <c r="D6" s="11" t="s">
        <v>28</v>
      </c>
    </row>
    <row r="7" customFormat="false" ht="23.85" hidden="false" customHeight="false" outlineLevel="0" collapsed="false">
      <c r="A7" s="8" t="n">
        <v>4</v>
      </c>
      <c r="B7" s="9" t="s">
        <v>33</v>
      </c>
      <c r="C7" s="10" t="s">
        <v>34</v>
      </c>
      <c r="D7" s="11" t="s">
        <v>28</v>
      </c>
    </row>
    <row r="8" customFormat="false" ht="23.85" hidden="false" customHeight="false" outlineLevel="0" collapsed="false">
      <c r="A8" s="8" t="n">
        <v>5</v>
      </c>
      <c r="B8" s="9" t="s">
        <v>35</v>
      </c>
      <c r="C8" s="10" t="s">
        <v>36</v>
      </c>
      <c r="D8" s="11" t="s">
        <v>28</v>
      </c>
    </row>
    <row r="9" customFormat="false" ht="23.85" hidden="false" customHeight="false" outlineLevel="0" collapsed="false">
      <c r="A9" s="8" t="n">
        <v>6</v>
      </c>
      <c r="B9" s="9" t="s">
        <v>37</v>
      </c>
      <c r="C9" s="10" t="s">
        <v>38</v>
      </c>
      <c r="D9" s="11" t="s">
        <v>28</v>
      </c>
    </row>
    <row r="10" customFormat="false" ht="23.85" hidden="false" customHeight="false" outlineLevel="0" collapsed="false">
      <c r="A10" s="8" t="n">
        <v>7</v>
      </c>
      <c r="B10" s="9" t="s">
        <v>39</v>
      </c>
      <c r="C10" s="10" t="s">
        <v>40</v>
      </c>
      <c r="D10" s="11" t="s">
        <v>28</v>
      </c>
    </row>
    <row r="11" customFormat="false" ht="15" hidden="false" customHeight="false" outlineLevel="0" collapsed="false">
      <c r="A11" s="8" t="n">
        <v>8</v>
      </c>
      <c r="B11" s="9" t="s">
        <v>41</v>
      </c>
      <c r="C11" s="10" t="s">
        <v>42</v>
      </c>
      <c r="D11" s="11" t="s">
        <v>28</v>
      </c>
    </row>
    <row r="12" customFormat="false" ht="23.85" hidden="false" customHeight="false" outlineLevel="0" collapsed="false">
      <c r="A12" s="8" t="n">
        <v>9</v>
      </c>
      <c r="B12" s="9" t="s">
        <v>43</v>
      </c>
      <c r="C12" s="10" t="s">
        <v>44</v>
      </c>
      <c r="D12" s="11" t="s">
        <v>28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4:D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6" t="s">
        <v>45</v>
      </c>
      <c r="B1" s="6"/>
      <c r="C1" s="6"/>
      <c r="D1" s="6"/>
    </row>
    <row r="3" customFormat="false" ht="15" hidden="false" customHeight="false" outlineLevel="0" collapsed="false">
      <c r="A3" s="7" t="s">
        <v>46</v>
      </c>
      <c r="B3" s="7" t="s">
        <v>47</v>
      </c>
      <c r="C3" s="7" t="s">
        <v>48</v>
      </c>
      <c r="D3" s="7" t="s">
        <v>49</v>
      </c>
    </row>
    <row r="4" customFormat="false" ht="15" hidden="false" customHeight="false" outlineLevel="0" collapsed="false">
      <c r="A4" s="9" t="s">
        <v>50</v>
      </c>
      <c r="B4" s="10" t="s">
        <v>51</v>
      </c>
      <c r="C4" s="12"/>
      <c r="D4" s="12"/>
    </row>
    <row r="5" customFormat="false" ht="15" hidden="false" customHeight="false" outlineLevel="0" collapsed="false">
      <c r="A5" s="9" t="s">
        <v>50</v>
      </c>
      <c r="B5" s="10" t="s">
        <v>52</v>
      </c>
      <c r="C5" s="12"/>
      <c r="D5" s="12"/>
    </row>
    <row r="6" customFormat="false" ht="15" hidden="false" customHeight="false" outlineLevel="0" collapsed="false">
      <c r="A6" s="9" t="s">
        <v>50</v>
      </c>
      <c r="B6" s="10" t="s">
        <v>53</v>
      </c>
      <c r="C6" s="12"/>
      <c r="D6" s="12"/>
    </row>
    <row r="7" customFormat="false" ht="15" hidden="false" customHeight="false" outlineLevel="0" collapsed="false">
      <c r="A7" s="9" t="s">
        <v>50</v>
      </c>
      <c r="B7" s="10" t="s">
        <v>54</v>
      </c>
      <c r="C7" s="12"/>
      <c r="D7" s="12"/>
    </row>
    <row r="8" customFormat="false" ht="23.85" hidden="false" customHeight="false" outlineLevel="0" collapsed="false">
      <c r="A8" s="13" t="s">
        <v>55</v>
      </c>
      <c r="B8" s="10" t="s">
        <v>56</v>
      </c>
      <c r="C8" s="12"/>
      <c r="D8" s="12"/>
    </row>
    <row r="9" customFormat="false" ht="23.85" hidden="false" customHeight="false" outlineLevel="0" collapsed="false">
      <c r="A9" s="13" t="s">
        <v>55</v>
      </c>
      <c r="B9" s="10" t="s">
        <v>57</v>
      </c>
      <c r="C9" s="12"/>
      <c r="D9" s="12"/>
    </row>
    <row r="10" customFormat="false" ht="23.85" hidden="false" customHeight="false" outlineLevel="0" collapsed="false">
      <c r="A10" s="13" t="s">
        <v>55</v>
      </c>
      <c r="B10" s="10" t="s">
        <v>58</v>
      </c>
      <c r="C10" s="12"/>
      <c r="D10" s="12"/>
    </row>
    <row r="11" customFormat="false" ht="23.85" hidden="false" customHeight="false" outlineLevel="0" collapsed="false">
      <c r="A11" s="13" t="s">
        <v>55</v>
      </c>
      <c r="B11" s="10" t="s">
        <v>59</v>
      </c>
      <c r="C11" s="12"/>
      <c r="D11" s="12"/>
    </row>
    <row r="12" customFormat="false" ht="23.85" hidden="false" customHeight="false" outlineLevel="0" collapsed="false">
      <c r="A12" s="13" t="s">
        <v>60</v>
      </c>
      <c r="B12" s="10" t="s">
        <v>61</v>
      </c>
      <c r="C12" s="12"/>
      <c r="D12" s="12"/>
    </row>
    <row r="13" customFormat="false" ht="23.85" hidden="false" customHeight="false" outlineLevel="0" collapsed="false">
      <c r="A13" s="13" t="s">
        <v>60</v>
      </c>
      <c r="B13" s="10" t="s">
        <v>62</v>
      </c>
      <c r="C13" s="12"/>
      <c r="D13" s="12"/>
    </row>
    <row r="14" customFormat="false" ht="23.85" hidden="false" customHeight="false" outlineLevel="0" collapsed="false">
      <c r="A14" s="13" t="s">
        <v>60</v>
      </c>
      <c r="B14" s="10" t="s">
        <v>63</v>
      </c>
      <c r="C14" s="12"/>
      <c r="D14" s="12"/>
    </row>
    <row r="15" customFormat="false" ht="23.85" hidden="false" customHeight="false" outlineLevel="0" collapsed="false">
      <c r="A15" s="13" t="s">
        <v>60</v>
      </c>
      <c r="B15" s="10" t="s">
        <v>64</v>
      </c>
      <c r="C15" s="12"/>
      <c r="D15" s="12"/>
    </row>
    <row r="16" customFormat="false" ht="23.85" hidden="false" customHeight="false" outlineLevel="0" collapsed="false">
      <c r="A16" s="13" t="s">
        <v>65</v>
      </c>
      <c r="B16" s="10" t="s">
        <v>66</v>
      </c>
      <c r="C16" s="12"/>
      <c r="D16" s="12"/>
    </row>
    <row r="17" customFormat="false" ht="23.85" hidden="false" customHeight="false" outlineLevel="0" collapsed="false">
      <c r="A17" s="13" t="s">
        <v>65</v>
      </c>
      <c r="B17" s="10" t="s">
        <v>67</v>
      </c>
      <c r="C17" s="12"/>
      <c r="D17" s="12"/>
    </row>
    <row r="18" customFormat="false" ht="23.85" hidden="false" customHeight="false" outlineLevel="0" collapsed="false">
      <c r="A18" s="13" t="s">
        <v>65</v>
      </c>
      <c r="B18" s="10" t="s">
        <v>68</v>
      </c>
      <c r="C18" s="12"/>
      <c r="D18" s="12"/>
    </row>
    <row r="19" customFormat="false" ht="23.85" hidden="false" customHeight="false" outlineLevel="0" collapsed="false">
      <c r="A19" s="13" t="s">
        <v>69</v>
      </c>
      <c r="B19" s="10" t="s">
        <v>70</v>
      </c>
      <c r="C19" s="12"/>
      <c r="D19" s="12"/>
    </row>
    <row r="20" customFormat="false" ht="23.85" hidden="false" customHeight="false" outlineLevel="0" collapsed="false">
      <c r="A20" s="13" t="s">
        <v>69</v>
      </c>
      <c r="B20" s="10" t="s">
        <v>71</v>
      </c>
      <c r="C20" s="12"/>
      <c r="D20" s="12"/>
    </row>
    <row r="21" customFormat="false" ht="23.85" hidden="false" customHeight="false" outlineLevel="0" collapsed="false">
      <c r="A21" s="13" t="s">
        <v>69</v>
      </c>
      <c r="B21" s="10" t="s">
        <v>72</v>
      </c>
      <c r="C21" s="12"/>
      <c r="D21" s="12"/>
    </row>
    <row r="22" customFormat="false" ht="23.85" hidden="false" customHeight="false" outlineLevel="0" collapsed="false">
      <c r="A22" s="13" t="s">
        <v>73</v>
      </c>
      <c r="B22" s="10" t="s">
        <v>74</v>
      </c>
      <c r="C22" s="12"/>
      <c r="D22" s="12"/>
    </row>
    <row r="23" customFormat="false" ht="23.85" hidden="false" customHeight="false" outlineLevel="0" collapsed="false">
      <c r="A23" s="13" t="s">
        <v>73</v>
      </c>
      <c r="B23" s="10" t="s">
        <v>75</v>
      </c>
      <c r="C23" s="12"/>
      <c r="D23" s="12"/>
    </row>
    <row r="24" customFormat="false" ht="23.85" hidden="false" customHeight="false" outlineLevel="0" collapsed="false">
      <c r="A24" s="13" t="s">
        <v>76</v>
      </c>
      <c r="B24" s="10" t="s">
        <v>77</v>
      </c>
      <c r="C24" s="12"/>
      <c r="D24" s="12"/>
    </row>
    <row r="25" customFormat="false" ht="23.85" hidden="false" customHeight="false" outlineLevel="0" collapsed="false">
      <c r="A25" s="13" t="s">
        <v>76</v>
      </c>
      <c r="B25" s="10" t="s">
        <v>78</v>
      </c>
      <c r="C25" s="12"/>
      <c r="D25" s="12"/>
    </row>
    <row r="26" customFormat="false" ht="23.85" hidden="false" customHeight="false" outlineLevel="0" collapsed="false">
      <c r="A26" s="13" t="s">
        <v>76</v>
      </c>
      <c r="B26" s="10" t="s">
        <v>79</v>
      </c>
      <c r="C26" s="12"/>
      <c r="D26" s="12"/>
    </row>
    <row r="27" customFormat="false" ht="23.85" hidden="false" customHeight="false" outlineLevel="0" collapsed="false">
      <c r="A27" s="13" t="s">
        <v>76</v>
      </c>
      <c r="B27" s="10" t="s">
        <v>80</v>
      </c>
      <c r="C27" s="12"/>
      <c r="D27" s="12"/>
    </row>
    <row r="28" customFormat="false" ht="23.85" hidden="false" customHeight="false" outlineLevel="0" collapsed="false">
      <c r="A28" s="13" t="s">
        <v>81</v>
      </c>
      <c r="B28" s="10" t="s">
        <v>82</v>
      </c>
      <c r="C28" s="12"/>
      <c r="D28" s="12"/>
    </row>
    <row r="29" customFormat="false" ht="23.85" hidden="false" customHeight="false" outlineLevel="0" collapsed="false">
      <c r="A29" s="13" t="s">
        <v>81</v>
      </c>
      <c r="B29" s="10" t="s">
        <v>83</v>
      </c>
      <c r="C29" s="12"/>
      <c r="D29" s="12"/>
    </row>
    <row r="30" customFormat="false" ht="23.85" hidden="false" customHeight="false" outlineLevel="0" collapsed="false">
      <c r="A30" s="13" t="s">
        <v>81</v>
      </c>
      <c r="B30" s="10" t="s">
        <v>84</v>
      </c>
      <c r="C30" s="12"/>
      <c r="D30" s="12"/>
    </row>
    <row r="31" customFormat="false" ht="23.85" hidden="false" customHeight="false" outlineLevel="0" collapsed="false">
      <c r="A31" s="13" t="s">
        <v>81</v>
      </c>
      <c r="B31" s="10" t="s">
        <v>85</v>
      </c>
      <c r="C31" s="12"/>
      <c r="D31" s="12"/>
    </row>
    <row r="32" customFormat="false" ht="23.85" hidden="false" customHeight="false" outlineLevel="0" collapsed="false">
      <c r="A32" s="13" t="s">
        <v>81</v>
      </c>
      <c r="B32" s="10" t="s">
        <v>86</v>
      </c>
      <c r="C32" s="12"/>
      <c r="D32" s="12"/>
    </row>
    <row r="33" customFormat="false" ht="23.85" hidden="false" customHeight="false" outlineLevel="0" collapsed="false">
      <c r="A33" s="13" t="s">
        <v>87</v>
      </c>
      <c r="B33" s="10" t="s">
        <v>88</v>
      </c>
      <c r="C33" s="12"/>
      <c r="D33" s="12"/>
    </row>
    <row r="34" customFormat="false" ht="23.85" hidden="false" customHeight="false" outlineLevel="0" collapsed="false">
      <c r="A34" s="13" t="s">
        <v>87</v>
      </c>
      <c r="B34" s="10" t="s">
        <v>89</v>
      </c>
      <c r="C34" s="12"/>
      <c r="D34" s="12"/>
    </row>
    <row r="35" customFormat="false" ht="23.85" hidden="false" customHeight="false" outlineLevel="0" collapsed="false">
      <c r="A35" s="13" t="s">
        <v>87</v>
      </c>
      <c r="B35" s="10" t="s">
        <v>90</v>
      </c>
      <c r="C35" s="12"/>
      <c r="D35" s="12"/>
    </row>
    <row r="36" customFormat="false" ht="23.85" hidden="false" customHeight="false" outlineLevel="0" collapsed="false">
      <c r="A36" s="13" t="s">
        <v>87</v>
      </c>
      <c r="B36" s="10" t="s">
        <v>91</v>
      </c>
      <c r="C36" s="12"/>
      <c r="D36" s="12"/>
    </row>
    <row r="37" customFormat="false" ht="23.85" hidden="false" customHeight="false" outlineLevel="0" collapsed="false">
      <c r="A37" s="13" t="s">
        <v>92</v>
      </c>
      <c r="B37" s="10" t="s">
        <v>93</v>
      </c>
      <c r="C37" s="12"/>
      <c r="D37" s="12"/>
    </row>
    <row r="38" customFormat="false" ht="23.85" hidden="false" customHeight="false" outlineLevel="0" collapsed="false">
      <c r="A38" s="13" t="s">
        <v>92</v>
      </c>
      <c r="B38" s="10" t="s">
        <v>94</v>
      </c>
      <c r="C38" s="12"/>
      <c r="D38" s="12"/>
    </row>
    <row r="39" customFormat="false" ht="23.85" hidden="false" customHeight="false" outlineLevel="0" collapsed="false">
      <c r="A39" s="13" t="s">
        <v>92</v>
      </c>
      <c r="B39" s="10" t="s">
        <v>95</v>
      </c>
      <c r="C39" s="12"/>
      <c r="D39" s="12"/>
    </row>
    <row r="40" customFormat="false" ht="23.85" hidden="false" customHeight="false" outlineLevel="0" collapsed="false">
      <c r="A40" s="13" t="s">
        <v>92</v>
      </c>
      <c r="B40" s="10" t="s">
        <v>96</v>
      </c>
      <c r="C40" s="12"/>
      <c r="D40" s="12"/>
    </row>
    <row r="41" customFormat="false" ht="23.85" hidden="false" customHeight="false" outlineLevel="0" collapsed="false">
      <c r="A41" s="13" t="s">
        <v>97</v>
      </c>
      <c r="B41" s="10" t="s">
        <v>98</v>
      </c>
      <c r="C41" s="12"/>
      <c r="D41" s="12"/>
    </row>
    <row r="42" customFormat="false" ht="23.85" hidden="false" customHeight="false" outlineLevel="0" collapsed="false">
      <c r="A42" s="13" t="s">
        <v>97</v>
      </c>
      <c r="B42" s="10" t="s">
        <v>99</v>
      </c>
      <c r="C42" s="12"/>
      <c r="D42" s="12"/>
    </row>
    <row r="43" customFormat="false" ht="23.85" hidden="false" customHeight="false" outlineLevel="0" collapsed="false">
      <c r="A43" s="13" t="s">
        <v>97</v>
      </c>
      <c r="B43" s="10" t="s">
        <v>100</v>
      </c>
      <c r="C43" s="12"/>
      <c r="D43" s="12"/>
    </row>
    <row r="44" customFormat="false" ht="23.85" hidden="false" customHeight="false" outlineLevel="0" collapsed="false">
      <c r="A44" s="13" t="s">
        <v>97</v>
      </c>
      <c r="B44" s="10" t="s">
        <v>101</v>
      </c>
      <c r="C44" s="12"/>
      <c r="D44" s="1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5" min="4" style="0" width="3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6.15" hidden="false" customHeight="false" outlineLevel="0" collapsed="false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customFormat="false" ht="15" hidden="false" customHeight="false" outlineLevel="0" collapsed="false">
      <c r="A3" s="14" t="s">
        <v>103</v>
      </c>
      <c r="B3" s="14" t="s">
        <v>104</v>
      </c>
      <c r="C3" s="14" t="s">
        <v>105</v>
      </c>
      <c r="D3" s="14" t="s">
        <v>106</v>
      </c>
      <c r="E3" s="14" t="s">
        <v>107</v>
      </c>
      <c r="F3" s="14" t="s">
        <v>108</v>
      </c>
      <c r="G3" s="14" t="s">
        <v>109</v>
      </c>
      <c r="H3" s="14" t="s">
        <v>110</v>
      </c>
      <c r="I3" s="14" t="s">
        <v>111</v>
      </c>
      <c r="J3" s="14" t="s">
        <v>112</v>
      </c>
      <c r="K3" s="14" t="s">
        <v>113</v>
      </c>
      <c r="L3" s="14" t="s">
        <v>114</v>
      </c>
      <c r="M3" s="14" t="s">
        <v>115</v>
      </c>
    </row>
    <row r="4" customFormat="false" ht="15" hidden="false" customHeight="false" outlineLevel="0" collapsed="false">
      <c r="A4" s="15" t="s">
        <v>116</v>
      </c>
      <c r="B4" s="15" t="n">
        <v>1</v>
      </c>
      <c r="C4" s="16" t="s">
        <v>117</v>
      </c>
      <c r="D4" s="16" t="s">
        <v>118</v>
      </c>
      <c r="E4" s="16" t="s">
        <v>119</v>
      </c>
      <c r="F4" s="15" t="s">
        <v>120</v>
      </c>
      <c r="G4" s="15" t="s">
        <v>121</v>
      </c>
      <c r="H4" s="17"/>
      <c r="I4" s="17"/>
      <c r="J4" s="17"/>
      <c r="K4" s="17"/>
      <c r="L4" s="15"/>
      <c r="M4" s="16"/>
    </row>
    <row r="5" customFormat="false" ht="15" hidden="false" customHeight="false" outlineLevel="0" collapsed="false">
      <c r="A5" s="15" t="s">
        <v>122</v>
      </c>
      <c r="B5" s="15" t="n">
        <v>1</v>
      </c>
      <c r="C5" s="16" t="s">
        <v>117</v>
      </c>
      <c r="D5" s="16" t="s">
        <v>123</v>
      </c>
      <c r="E5" s="16" t="s">
        <v>118</v>
      </c>
      <c r="F5" s="15" t="s">
        <v>120</v>
      </c>
      <c r="G5" s="15" t="str">
        <f aca="false">IF((IF(AND($F$4&lt;&gt;"Done",$F$4&lt;&gt;"N/A"),1,0))&gt;0,"BLOCKED","Ready")</f>
        <v>BLOCKED</v>
      </c>
      <c r="H5" s="17"/>
      <c r="I5" s="17"/>
      <c r="J5" s="17"/>
      <c r="K5" s="17"/>
      <c r="L5" s="15"/>
      <c r="M5" s="16"/>
    </row>
    <row r="6" customFormat="false" ht="15" hidden="false" customHeight="false" outlineLevel="0" collapsed="false">
      <c r="A6" s="15" t="s">
        <v>124</v>
      </c>
      <c r="B6" s="15" t="n">
        <v>1</v>
      </c>
      <c r="C6" s="16" t="s">
        <v>117</v>
      </c>
      <c r="D6" s="16" t="s">
        <v>125</v>
      </c>
      <c r="E6" s="16" t="s">
        <v>123</v>
      </c>
      <c r="F6" s="15" t="s">
        <v>120</v>
      </c>
      <c r="G6" s="15" t="str">
        <f aca="false">IF((IF(AND($F$5&lt;&gt;"Done",$F$5&lt;&gt;"N/A"),1,0))&gt;0,"BLOCKED","Ready")</f>
        <v>BLOCKED</v>
      </c>
      <c r="H6" s="17"/>
      <c r="I6" s="17"/>
      <c r="J6" s="17"/>
      <c r="K6" s="17"/>
      <c r="L6" s="15"/>
      <c r="M6" s="16"/>
    </row>
    <row r="7" customFormat="false" ht="23.85" hidden="false" customHeight="false" outlineLevel="0" collapsed="false">
      <c r="A7" s="15" t="s">
        <v>126</v>
      </c>
      <c r="B7" s="15" t="n">
        <v>1</v>
      </c>
      <c r="C7" s="16" t="s">
        <v>117</v>
      </c>
      <c r="D7" s="16" t="s">
        <v>127</v>
      </c>
      <c r="E7" s="16" t="s">
        <v>125</v>
      </c>
      <c r="F7" s="15" t="s">
        <v>120</v>
      </c>
      <c r="G7" s="15" t="str">
        <f aca="false">IF((IF(AND($F$6&lt;&gt;"Done",$F$6&lt;&gt;"N/A"),1,0))&gt;0,"BLOCKED","Ready")</f>
        <v>BLOCKED</v>
      </c>
      <c r="H7" s="17"/>
      <c r="I7" s="17"/>
      <c r="J7" s="17"/>
      <c r="K7" s="17"/>
      <c r="L7" s="15"/>
      <c r="M7" s="16"/>
    </row>
    <row r="8" customFormat="false" ht="15" hidden="false" customHeight="false" outlineLevel="0" collapsed="false">
      <c r="A8" s="15" t="s">
        <v>128</v>
      </c>
      <c r="B8" s="15" t="n">
        <v>1</v>
      </c>
      <c r="C8" s="16" t="s">
        <v>117</v>
      </c>
      <c r="D8" s="16" t="s">
        <v>129</v>
      </c>
      <c r="E8" s="16" t="s">
        <v>125</v>
      </c>
      <c r="F8" s="15" t="s">
        <v>120</v>
      </c>
      <c r="G8" s="15" t="str">
        <f aca="false">IF((IF(AND($F$6&lt;&gt;"Done",$F$6&lt;&gt;"N/A"),1,0))&gt;0,"BLOCKED","Ready")</f>
        <v>BLOCKED</v>
      </c>
      <c r="H8" s="17"/>
      <c r="I8" s="17"/>
      <c r="J8" s="17"/>
      <c r="K8" s="17"/>
      <c r="L8" s="15"/>
      <c r="M8" s="16"/>
    </row>
    <row r="9" customFormat="false" ht="23.85" hidden="false" customHeight="false" outlineLevel="0" collapsed="false">
      <c r="A9" s="15" t="s">
        <v>130</v>
      </c>
      <c r="B9" s="15" t="n">
        <v>1</v>
      </c>
      <c r="C9" s="16" t="s">
        <v>117</v>
      </c>
      <c r="D9" s="16" t="s">
        <v>131</v>
      </c>
      <c r="E9" s="16" t="s">
        <v>132</v>
      </c>
      <c r="F9" s="15" t="s">
        <v>120</v>
      </c>
      <c r="G9" s="15" t="str">
        <f aca="false">IF((IF(AND($F$7&lt;&gt;"Done",$F$7&lt;&gt;"N/A"),1,0)+IF(AND($F$8&lt;&gt;"Done",$F$8&lt;&gt;"N/A"),1,0))&gt;0,"BLOCKED","Ready")</f>
        <v>BLOCKED</v>
      </c>
      <c r="H9" s="17"/>
      <c r="I9" s="17"/>
      <c r="J9" s="17"/>
      <c r="K9" s="17"/>
      <c r="L9" s="15"/>
      <c r="M9" s="16"/>
    </row>
    <row r="10" customFormat="false" ht="15" hidden="false" customHeight="false" outlineLevel="0" collapsed="false">
      <c r="A10" s="15" t="s">
        <v>133</v>
      </c>
      <c r="B10" s="15" t="n">
        <v>1</v>
      </c>
      <c r="C10" s="16" t="s">
        <v>117</v>
      </c>
      <c r="D10" s="16" t="s">
        <v>134</v>
      </c>
      <c r="E10" s="16" t="s">
        <v>131</v>
      </c>
      <c r="F10" s="15" t="s">
        <v>120</v>
      </c>
      <c r="G10" s="15" t="str">
        <f aca="false">IF((IF(AND($F$9&lt;&gt;"Done",$F$9&lt;&gt;"N/A"),1,0))&gt;0,"BLOCKED","Ready")</f>
        <v>BLOCKED</v>
      </c>
      <c r="H10" s="17"/>
      <c r="I10" s="17"/>
      <c r="J10" s="17"/>
      <c r="K10" s="17"/>
      <c r="L10" s="15"/>
      <c r="M10" s="16"/>
    </row>
    <row r="11" customFormat="false" ht="15" hidden="false" customHeight="false" outlineLevel="0" collapsed="false">
      <c r="A11" s="15" t="s">
        <v>135</v>
      </c>
      <c r="B11" s="15" t="n">
        <v>1</v>
      </c>
      <c r="C11" s="16" t="s">
        <v>117</v>
      </c>
      <c r="D11" s="16" t="s">
        <v>136</v>
      </c>
      <c r="E11" s="16" t="s">
        <v>134</v>
      </c>
      <c r="F11" s="15" t="s">
        <v>120</v>
      </c>
      <c r="G11" s="15" t="str">
        <f aca="false">IF((IF(AND($F$10&lt;&gt;"Done",$F$10&lt;&gt;"N/A"),1,0))&gt;0,"BLOCKED","Ready")</f>
        <v>BLOCKED</v>
      </c>
      <c r="H11" s="17"/>
      <c r="I11" s="17"/>
      <c r="J11" s="17"/>
      <c r="K11" s="17"/>
      <c r="L11" s="15"/>
      <c r="M11" s="16"/>
    </row>
    <row r="12" customFormat="false" ht="15" hidden="false" customHeight="false" outlineLevel="0" collapsed="false">
      <c r="A12" s="15" t="s">
        <v>137</v>
      </c>
      <c r="B12" s="15" t="n">
        <v>1</v>
      </c>
      <c r="C12" s="16" t="s">
        <v>117</v>
      </c>
      <c r="D12" s="16" t="s">
        <v>138</v>
      </c>
      <c r="E12" s="16" t="s">
        <v>136</v>
      </c>
      <c r="F12" s="15" t="s">
        <v>120</v>
      </c>
      <c r="G12" s="15" t="str">
        <f aca="false">IF((IF(AND($F$11&lt;&gt;"Done",$F$11&lt;&gt;"N/A"),1,0))&gt;0,"BLOCKED","Ready")</f>
        <v>BLOCKED</v>
      </c>
      <c r="H12" s="17"/>
      <c r="I12" s="17"/>
      <c r="J12" s="17"/>
      <c r="K12" s="17"/>
      <c r="L12" s="15"/>
      <c r="M12" s="16"/>
    </row>
    <row r="13" customFormat="false" ht="15" hidden="false" customHeight="false" outlineLevel="0" collapsed="false">
      <c r="A13" s="15" t="s">
        <v>139</v>
      </c>
      <c r="B13" s="15" t="n">
        <v>1</v>
      </c>
      <c r="C13" s="16" t="s">
        <v>117</v>
      </c>
      <c r="D13" s="16" t="s">
        <v>140</v>
      </c>
      <c r="E13" s="16" t="s">
        <v>141</v>
      </c>
      <c r="F13" s="15" t="s">
        <v>120</v>
      </c>
      <c r="G13" s="15" t="str">
        <f aca="false">IF((IF(AND($F$5&lt;&gt;"Done",$F$5&lt;&gt;"N/A"),1,0)+IF(AND($F$4&lt;&gt;"Done",$F$4&lt;&gt;"N/A"),1,0))&gt;0,"BLOCKED","Ready")</f>
        <v>BLOCKED</v>
      </c>
      <c r="H13" s="17"/>
      <c r="I13" s="17"/>
      <c r="J13" s="17"/>
      <c r="K13" s="17"/>
      <c r="L13" s="15"/>
      <c r="M13" s="16"/>
    </row>
    <row r="14" customFormat="false" ht="15" hidden="false" customHeight="false" outlineLevel="0" collapsed="false">
      <c r="A14" s="15" t="s">
        <v>142</v>
      </c>
      <c r="B14" s="15" t="n">
        <v>1</v>
      </c>
      <c r="C14" s="16" t="s">
        <v>117</v>
      </c>
      <c r="D14" s="16" t="s">
        <v>143</v>
      </c>
      <c r="E14" s="16" t="s">
        <v>123</v>
      </c>
      <c r="F14" s="15" t="s">
        <v>120</v>
      </c>
      <c r="G14" s="15" t="str">
        <f aca="false">IF((IF(AND($F$5&lt;&gt;"Done",$F$5&lt;&gt;"N/A"),1,0))&gt;0,"BLOCKED","Ready")</f>
        <v>BLOCKED</v>
      </c>
      <c r="H14" s="17"/>
      <c r="I14" s="17"/>
      <c r="J14" s="17"/>
      <c r="K14" s="17"/>
      <c r="L14" s="15"/>
      <c r="M14" s="16"/>
    </row>
    <row r="15" customFormat="false" ht="15" hidden="false" customHeight="false" outlineLevel="0" collapsed="false">
      <c r="A15" s="18" t="s">
        <v>144</v>
      </c>
      <c r="B15" s="18" t="n">
        <v>2</v>
      </c>
      <c r="C15" s="19" t="s">
        <v>145</v>
      </c>
      <c r="D15" s="19" t="s">
        <v>146</v>
      </c>
      <c r="E15" s="19" t="s">
        <v>118</v>
      </c>
      <c r="F15" s="18" t="s">
        <v>120</v>
      </c>
      <c r="G15" s="18" t="str">
        <f aca="false">IF((IF(AND($F$4&lt;&gt;"Done",$F$4&lt;&gt;"N/A"),1,0))&gt;0,"BLOCKED","Ready")</f>
        <v>BLOCKED</v>
      </c>
      <c r="H15" s="20"/>
      <c r="I15" s="20"/>
      <c r="J15" s="20"/>
      <c r="K15" s="20"/>
      <c r="L15" s="18"/>
      <c r="M15" s="19"/>
    </row>
    <row r="16" customFormat="false" ht="23.85" hidden="false" customHeight="false" outlineLevel="0" collapsed="false">
      <c r="A16" s="18" t="s">
        <v>147</v>
      </c>
      <c r="B16" s="18" t="n">
        <v>2</v>
      </c>
      <c r="C16" s="19" t="s">
        <v>145</v>
      </c>
      <c r="D16" s="19" t="s">
        <v>148</v>
      </c>
      <c r="E16" s="19" t="s">
        <v>149</v>
      </c>
      <c r="F16" s="18" t="s">
        <v>120</v>
      </c>
      <c r="G16" s="18" t="str">
        <f aca="false">IF((IF(AND($F$15&lt;&gt;"Done",$F$15&lt;&gt;"N/A"),1,0)+IF(AND($F$11&lt;&gt;"Done",$F$11&lt;&gt;"N/A"),1,0))&gt;0,"BLOCKED","Ready")</f>
        <v>BLOCKED</v>
      </c>
      <c r="H16" s="20"/>
      <c r="I16" s="20"/>
      <c r="J16" s="20"/>
      <c r="K16" s="20"/>
      <c r="L16" s="18"/>
      <c r="M16" s="19"/>
    </row>
    <row r="17" customFormat="false" ht="23.85" hidden="false" customHeight="false" outlineLevel="0" collapsed="false">
      <c r="A17" s="18" t="s">
        <v>150</v>
      </c>
      <c r="B17" s="18" t="n">
        <v>2</v>
      </c>
      <c r="C17" s="19" t="s">
        <v>151</v>
      </c>
      <c r="D17" s="19" t="s">
        <v>152</v>
      </c>
      <c r="E17" s="19" t="s">
        <v>153</v>
      </c>
      <c r="F17" s="18" t="s">
        <v>120</v>
      </c>
      <c r="G17" s="18" t="str">
        <f aca="false">IF((IF(AND($F$9&lt;&gt;"Done",$F$9&lt;&gt;"N/A"),1,0)+IF(AND($F$14&lt;&gt;"Done",$F$14&lt;&gt;"N/A"),1,0))&gt;0,"BLOCKED","Ready")</f>
        <v>BLOCKED</v>
      </c>
      <c r="H17" s="20"/>
      <c r="I17" s="20"/>
      <c r="J17" s="20"/>
      <c r="K17" s="20"/>
      <c r="L17" s="18"/>
      <c r="M17" s="19"/>
    </row>
    <row r="18" customFormat="false" ht="23.85" hidden="false" customHeight="false" outlineLevel="0" collapsed="false">
      <c r="A18" s="18" t="s">
        <v>154</v>
      </c>
      <c r="B18" s="18" t="n">
        <v>2</v>
      </c>
      <c r="C18" s="19" t="s">
        <v>151</v>
      </c>
      <c r="D18" s="19" t="s">
        <v>155</v>
      </c>
      <c r="E18" s="19" t="s">
        <v>156</v>
      </c>
      <c r="F18" s="18" t="s">
        <v>120</v>
      </c>
      <c r="G18" s="18" t="str">
        <f aca="false">IF((IF(AND($F$10&lt;&gt;"Done",$F$10&lt;&gt;"N/A"),1,0)+IF(AND($F$4&lt;&gt;"Done",$F$4&lt;&gt;"N/A"),1,0))&gt;0,"BLOCKED","Ready")</f>
        <v>BLOCKED</v>
      </c>
      <c r="H18" s="20"/>
      <c r="I18" s="20"/>
      <c r="J18" s="20"/>
      <c r="K18" s="20"/>
      <c r="L18" s="18"/>
      <c r="M18" s="19"/>
    </row>
    <row r="19" customFormat="false" ht="23.85" hidden="false" customHeight="false" outlineLevel="0" collapsed="false">
      <c r="A19" s="18" t="s">
        <v>157</v>
      </c>
      <c r="B19" s="18" t="n">
        <v>2</v>
      </c>
      <c r="C19" s="19" t="s">
        <v>158</v>
      </c>
      <c r="D19" s="19" t="s">
        <v>159</v>
      </c>
      <c r="E19" s="19" t="s">
        <v>160</v>
      </c>
      <c r="F19" s="18" t="s">
        <v>120</v>
      </c>
      <c r="G19" s="18" t="str">
        <f aca="false">IF((IF(AND($F$11&lt;&gt;"Done",$F$11&lt;&gt;"N/A"),1,0)+IF(AND($F$14&lt;&gt;"Done",$F$14&lt;&gt;"N/A"),1,0))&gt;0,"BLOCKED","Ready")</f>
        <v>BLOCKED</v>
      </c>
      <c r="H19" s="20"/>
      <c r="I19" s="20"/>
      <c r="J19" s="20"/>
      <c r="K19" s="20"/>
      <c r="L19" s="18"/>
      <c r="M19" s="19"/>
    </row>
    <row r="20" customFormat="false" ht="23.85" hidden="false" customHeight="false" outlineLevel="0" collapsed="false">
      <c r="A20" s="18" t="s">
        <v>161</v>
      </c>
      <c r="B20" s="18" t="n">
        <v>2</v>
      </c>
      <c r="C20" s="19" t="s">
        <v>158</v>
      </c>
      <c r="D20" s="19" t="s">
        <v>162</v>
      </c>
      <c r="E20" s="19" t="s">
        <v>163</v>
      </c>
      <c r="F20" s="18" t="s">
        <v>120</v>
      </c>
      <c r="G20" s="18" t="str">
        <f aca="false">IF((IF(AND($F$11&lt;&gt;"Done",$F$11&lt;&gt;"N/A"),1,0)+IF(AND($F$10&lt;&gt;"Done",$F$10&lt;&gt;"N/A"),1,0))&gt;0,"BLOCKED","Ready")</f>
        <v>BLOCKED</v>
      </c>
      <c r="H20" s="20"/>
      <c r="I20" s="20"/>
      <c r="J20" s="20"/>
      <c r="K20" s="20"/>
      <c r="L20" s="18"/>
      <c r="M20" s="19"/>
    </row>
    <row r="21" customFormat="false" ht="23.85" hidden="false" customHeight="false" outlineLevel="0" collapsed="false">
      <c r="A21" s="18" t="s">
        <v>164</v>
      </c>
      <c r="B21" s="18" t="n">
        <v>2</v>
      </c>
      <c r="C21" s="19" t="s">
        <v>165</v>
      </c>
      <c r="D21" s="19" t="s">
        <v>166</v>
      </c>
      <c r="E21" s="19" t="s">
        <v>167</v>
      </c>
      <c r="F21" s="18" t="s">
        <v>120</v>
      </c>
      <c r="G21" s="18" t="str">
        <f aca="false">IF((IF(AND($F$11&lt;&gt;"Done",$F$11&lt;&gt;"N/A"),1,0)+IF(AND($F$13&lt;&gt;"Done",$F$13&lt;&gt;"N/A"),1,0))&gt;0,"BLOCKED","Ready")</f>
        <v>BLOCKED</v>
      </c>
      <c r="H21" s="20"/>
      <c r="I21" s="20"/>
      <c r="J21" s="20"/>
      <c r="K21" s="20"/>
      <c r="L21" s="18"/>
      <c r="M21" s="19"/>
    </row>
    <row r="22" customFormat="false" ht="15" hidden="false" customHeight="false" outlineLevel="0" collapsed="false">
      <c r="A22" s="15" t="s">
        <v>168</v>
      </c>
      <c r="B22" s="15" t="n">
        <v>3</v>
      </c>
      <c r="C22" s="16" t="s">
        <v>151</v>
      </c>
      <c r="D22" s="16" t="s">
        <v>169</v>
      </c>
      <c r="E22" s="16" t="s">
        <v>152</v>
      </c>
      <c r="F22" s="15" t="s">
        <v>120</v>
      </c>
      <c r="G22" s="15" t="str">
        <f aca="false">IF((IF(AND($F$17&lt;&gt;"Done",$F$17&lt;&gt;"N/A"),1,0))&gt;0,"BLOCKED","Ready")</f>
        <v>BLOCKED</v>
      </c>
      <c r="H22" s="17"/>
      <c r="I22" s="17"/>
      <c r="J22" s="17"/>
      <c r="K22" s="17"/>
      <c r="L22" s="15"/>
      <c r="M22" s="16"/>
    </row>
    <row r="23" customFormat="false" ht="23.85" hidden="false" customHeight="false" outlineLevel="0" collapsed="false">
      <c r="A23" s="15" t="s">
        <v>170</v>
      </c>
      <c r="B23" s="15" t="n">
        <v>3</v>
      </c>
      <c r="C23" s="16" t="s">
        <v>151</v>
      </c>
      <c r="D23" s="16" t="s">
        <v>171</v>
      </c>
      <c r="E23" s="16" t="s">
        <v>172</v>
      </c>
      <c r="F23" s="15" t="s">
        <v>120</v>
      </c>
      <c r="G23" s="15" t="str">
        <f aca="false">IF((IF(AND($F$17&lt;&gt;"Done",$F$17&lt;&gt;"N/A"),1,0)+IF(AND($F$18&lt;&gt;"Done",$F$18&lt;&gt;"N/A"),1,0)+IF(AND($F$19&lt;&gt;"Done",$F$19&lt;&gt;"N/A"),1,0)+IF(AND($F$22&lt;&gt;"Done",$F$22&lt;&gt;"N/A"),1,0))&gt;0,"BLOCKED","Ready")</f>
        <v>BLOCKED</v>
      </c>
      <c r="H23" s="17"/>
      <c r="I23" s="17"/>
      <c r="J23" s="17"/>
      <c r="K23" s="17"/>
      <c r="L23" s="15"/>
      <c r="M23" s="16"/>
    </row>
    <row r="24" customFormat="false" ht="23.85" hidden="false" customHeight="false" outlineLevel="0" collapsed="false">
      <c r="A24" s="15" t="s">
        <v>173</v>
      </c>
      <c r="B24" s="15" t="n">
        <v>3</v>
      </c>
      <c r="C24" s="16" t="s">
        <v>151</v>
      </c>
      <c r="D24" s="16" t="s">
        <v>174</v>
      </c>
      <c r="E24" s="16" t="s">
        <v>175</v>
      </c>
      <c r="F24" s="15" t="s">
        <v>120</v>
      </c>
      <c r="G24" s="15" t="str">
        <f aca="false">IF((IF(AND($F$17&lt;&gt;"Done",$F$17&lt;&gt;"N/A"),1,0)+IF(AND($F$18&lt;&gt;"Done",$F$18&lt;&gt;"N/A"),1,0)+IF(AND($F$16&lt;&gt;"Done",$F$16&lt;&gt;"N/A"),1,0))&gt;0,"BLOCKED","Ready")</f>
        <v>BLOCKED</v>
      </c>
      <c r="H24" s="17"/>
      <c r="I24" s="17"/>
      <c r="J24" s="17"/>
      <c r="K24" s="17"/>
      <c r="L24" s="15"/>
      <c r="M24" s="16"/>
    </row>
    <row r="25" customFormat="false" ht="15" hidden="false" customHeight="false" outlineLevel="0" collapsed="false">
      <c r="A25" s="15" t="s">
        <v>176</v>
      </c>
      <c r="B25" s="15" t="n">
        <v>3</v>
      </c>
      <c r="C25" s="16" t="s">
        <v>151</v>
      </c>
      <c r="D25" s="16" t="s">
        <v>177</v>
      </c>
      <c r="E25" s="16" t="s">
        <v>152</v>
      </c>
      <c r="F25" s="15" t="s">
        <v>120</v>
      </c>
      <c r="G25" s="15" t="str">
        <f aca="false">IF((IF(AND($F$17&lt;&gt;"Done",$F$17&lt;&gt;"N/A"),1,0))&gt;0,"BLOCKED","Ready")</f>
        <v>BLOCKED</v>
      </c>
      <c r="H25" s="17"/>
      <c r="I25" s="17"/>
      <c r="J25" s="17"/>
      <c r="K25" s="17"/>
      <c r="L25" s="15"/>
      <c r="M25" s="16"/>
    </row>
    <row r="26" customFormat="false" ht="15" hidden="false" customHeight="false" outlineLevel="0" collapsed="false">
      <c r="A26" s="15" t="s">
        <v>178</v>
      </c>
      <c r="B26" s="15" t="n">
        <v>3</v>
      </c>
      <c r="C26" s="16" t="s">
        <v>158</v>
      </c>
      <c r="D26" s="16" t="s">
        <v>179</v>
      </c>
      <c r="E26" s="16" t="s">
        <v>162</v>
      </c>
      <c r="F26" s="15" t="s">
        <v>120</v>
      </c>
      <c r="G26" s="15" t="str">
        <f aca="false">IF((IF(AND($F$20&lt;&gt;"Done",$F$20&lt;&gt;"N/A"),1,0))&gt;0,"BLOCKED","Ready")</f>
        <v>BLOCKED</v>
      </c>
      <c r="H26" s="17"/>
      <c r="I26" s="17"/>
      <c r="J26" s="17"/>
      <c r="K26" s="17"/>
      <c r="L26" s="15"/>
      <c r="M26" s="16"/>
    </row>
    <row r="27" customFormat="false" ht="23.85" hidden="false" customHeight="false" outlineLevel="0" collapsed="false">
      <c r="A27" s="15" t="s">
        <v>180</v>
      </c>
      <c r="B27" s="15" t="n">
        <v>3</v>
      </c>
      <c r="C27" s="16" t="s">
        <v>158</v>
      </c>
      <c r="D27" s="16" t="s">
        <v>181</v>
      </c>
      <c r="E27" s="16" t="s">
        <v>182</v>
      </c>
      <c r="F27" s="15" t="s">
        <v>120</v>
      </c>
      <c r="G27" s="15" t="str">
        <f aca="false">IF((IF(AND($F$19&lt;&gt;"Done",$F$19&lt;&gt;"N/A"),1,0)+IF(AND($F$20&lt;&gt;"Done",$F$20&lt;&gt;"N/A"),1,0))&gt;0,"BLOCKED","Ready")</f>
        <v>BLOCKED</v>
      </c>
      <c r="H27" s="17"/>
      <c r="I27" s="17"/>
      <c r="J27" s="17"/>
      <c r="K27" s="17"/>
      <c r="L27" s="15"/>
      <c r="M27" s="16"/>
    </row>
    <row r="28" customFormat="false" ht="35.05" hidden="false" customHeight="false" outlineLevel="0" collapsed="false">
      <c r="A28" s="15" t="s">
        <v>183</v>
      </c>
      <c r="B28" s="15" t="n">
        <v>3</v>
      </c>
      <c r="C28" s="16" t="s">
        <v>165</v>
      </c>
      <c r="D28" s="16" t="s">
        <v>184</v>
      </c>
      <c r="E28" s="16" t="s">
        <v>185</v>
      </c>
      <c r="F28" s="15" t="s">
        <v>120</v>
      </c>
      <c r="G28" s="15" t="str">
        <f aca="false">IF((IF(AND($F$21&lt;&gt;"Done",$F$21&lt;&gt;"N/A"),1,0)+IF(AND($F$14&lt;&gt;"Done",$F$14&lt;&gt;"N/A"),1,0))&gt;0,"BLOCKED","Ready")</f>
        <v>BLOCKED</v>
      </c>
      <c r="H28" s="17"/>
      <c r="I28" s="17"/>
      <c r="J28" s="17"/>
      <c r="K28" s="17"/>
      <c r="L28" s="15"/>
      <c r="M28" s="16"/>
    </row>
    <row r="29" customFormat="false" ht="23.85" hidden="false" customHeight="false" outlineLevel="0" collapsed="false">
      <c r="A29" s="15" t="s">
        <v>186</v>
      </c>
      <c r="B29" s="15" t="n">
        <v>3</v>
      </c>
      <c r="C29" s="16" t="s">
        <v>187</v>
      </c>
      <c r="D29" s="16" t="s">
        <v>188</v>
      </c>
      <c r="E29" s="16" t="s">
        <v>189</v>
      </c>
      <c r="F29" s="15" t="s">
        <v>120</v>
      </c>
      <c r="G29" s="15" t="str">
        <f aca="false">IF((IF(AND($F$14&lt;&gt;"Done",$F$14&lt;&gt;"N/A"),1,0)+IF(AND($F$16&lt;&gt;"Done",$F$16&lt;&gt;"N/A"),1,0))&gt;0,"BLOCKED","Ready")</f>
        <v>BLOCKED</v>
      </c>
      <c r="H29" s="17"/>
      <c r="I29" s="17"/>
      <c r="J29" s="17"/>
      <c r="K29" s="17"/>
      <c r="L29" s="15"/>
      <c r="M29" s="16"/>
    </row>
    <row r="30" customFormat="false" ht="15" hidden="false" customHeight="false" outlineLevel="0" collapsed="false">
      <c r="A30" s="15" t="s">
        <v>190</v>
      </c>
      <c r="B30" s="15" t="n">
        <v>3</v>
      </c>
      <c r="C30" s="16" t="s">
        <v>187</v>
      </c>
      <c r="D30" s="16" t="s">
        <v>191</v>
      </c>
      <c r="E30" s="16" t="s">
        <v>162</v>
      </c>
      <c r="F30" s="15" t="s">
        <v>120</v>
      </c>
      <c r="G30" s="15" t="str">
        <f aca="false">IF((IF(AND($F$20&lt;&gt;"Done",$F$20&lt;&gt;"N/A"),1,0))&gt;0,"BLOCKED","Ready")</f>
        <v>BLOCKED</v>
      </c>
      <c r="H30" s="17"/>
      <c r="I30" s="17"/>
      <c r="J30" s="17"/>
      <c r="K30" s="17"/>
      <c r="L30" s="15"/>
      <c r="M30" s="16"/>
    </row>
    <row r="31" customFormat="false" ht="23.85" hidden="false" customHeight="false" outlineLevel="0" collapsed="false">
      <c r="A31" s="18" t="s">
        <v>192</v>
      </c>
      <c r="B31" s="18" t="n">
        <v>4</v>
      </c>
      <c r="C31" s="19" t="s">
        <v>151</v>
      </c>
      <c r="D31" s="19" t="s">
        <v>193</v>
      </c>
      <c r="E31" s="19" t="s">
        <v>194</v>
      </c>
      <c r="F31" s="18" t="s">
        <v>120</v>
      </c>
      <c r="G31" s="18" t="str">
        <f aca="false">IF((IF(AND($F$23&lt;&gt;"Done",$F$23&lt;&gt;"N/A"),1,0)+IF(AND($F$28&lt;&gt;"Done",$F$28&lt;&gt;"N/A"),1,0))&gt;0,"BLOCKED","Ready")</f>
        <v>BLOCKED</v>
      </c>
      <c r="H31" s="20"/>
      <c r="I31" s="20"/>
      <c r="J31" s="20"/>
      <c r="K31" s="20"/>
      <c r="L31" s="18"/>
      <c r="M31" s="19"/>
    </row>
    <row r="32" customFormat="false" ht="35.05" hidden="false" customHeight="false" outlineLevel="0" collapsed="false">
      <c r="A32" s="18" t="s">
        <v>195</v>
      </c>
      <c r="B32" s="18" t="n">
        <v>4</v>
      </c>
      <c r="C32" s="19" t="s">
        <v>158</v>
      </c>
      <c r="D32" s="19" t="s">
        <v>196</v>
      </c>
      <c r="E32" s="19" t="s">
        <v>197</v>
      </c>
      <c r="F32" s="18" t="s">
        <v>120</v>
      </c>
      <c r="G32" s="18" t="str">
        <f aca="false">IF((IF(AND($F$20&lt;&gt;"Done",$F$20&lt;&gt;"N/A"),1,0)+IF(AND($F$26&lt;&gt;"Done",$F$26&lt;&gt;"N/A"),1,0)+IF(AND($F$16&lt;&gt;"Done",$F$16&lt;&gt;"N/A"),1,0)+IF(AND($F$24&lt;&gt;"Done",$F$24&lt;&gt;"N/A"),1,0))&gt;0,"BLOCKED","Ready")</f>
        <v>BLOCKED</v>
      </c>
      <c r="H32" s="20"/>
      <c r="I32" s="20"/>
      <c r="J32" s="20"/>
      <c r="K32" s="20"/>
      <c r="L32" s="18"/>
      <c r="M32" s="19"/>
    </row>
    <row r="33" customFormat="false" ht="23.85" hidden="false" customHeight="false" outlineLevel="0" collapsed="false">
      <c r="A33" s="18" t="s">
        <v>198</v>
      </c>
      <c r="B33" s="18" t="n">
        <v>4</v>
      </c>
      <c r="C33" s="19" t="s">
        <v>158</v>
      </c>
      <c r="D33" s="19" t="s">
        <v>199</v>
      </c>
      <c r="E33" s="19" t="s">
        <v>200</v>
      </c>
      <c r="F33" s="18" t="s">
        <v>120</v>
      </c>
      <c r="G33" s="18" t="str">
        <f aca="false">IF((IF(AND($F$20&lt;&gt;"Done",$F$20&lt;&gt;"N/A"),1,0)+IF(AND($F$17&lt;&gt;"Done",$F$17&lt;&gt;"N/A"),1,0))&gt;0,"BLOCKED","Ready")</f>
        <v>BLOCKED</v>
      </c>
      <c r="H33" s="20"/>
      <c r="I33" s="20"/>
      <c r="J33" s="20"/>
      <c r="K33" s="20"/>
      <c r="L33" s="18"/>
      <c r="M33" s="19"/>
    </row>
    <row r="34" customFormat="false" ht="15" hidden="false" customHeight="false" outlineLevel="0" collapsed="false">
      <c r="A34" s="18" t="s">
        <v>201</v>
      </c>
      <c r="B34" s="18" t="n">
        <v>4</v>
      </c>
      <c r="C34" s="19" t="s">
        <v>158</v>
      </c>
      <c r="D34" s="19" t="s">
        <v>202</v>
      </c>
      <c r="E34" s="19" t="s">
        <v>162</v>
      </c>
      <c r="F34" s="18" t="s">
        <v>120</v>
      </c>
      <c r="G34" s="18" t="str">
        <f aca="false">IF((IF(AND($F$20&lt;&gt;"Done",$F$20&lt;&gt;"N/A"),1,0))&gt;0,"BLOCKED","Ready")</f>
        <v>BLOCKED</v>
      </c>
      <c r="H34" s="20"/>
      <c r="I34" s="20"/>
      <c r="J34" s="20"/>
      <c r="K34" s="20"/>
      <c r="L34" s="18"/>
      <c r="M34" s="19"/>
    </row>
    <row r="35" customFormat="false" ht="15" hidden="false" customHeight="false" outlineLevel="0" collapsed="false">
      <c r="A35" s="18" t="s">
        <v>203</v>
      </c>
      <c r="B35" s="18" t="n">
        <v>4</v>
      </c>
      <c r="C35" s="19" t="s">
        <v>165</v>
      </c>
      <c r="D35" s="19" t="s">
        <v>204</v>
      </c>
      <c r="E35" s="19" t="s">
        <v>184</v>
      </c>
      <c r="F35" s="18" t="s">
        <v>120</v>
      </c>
      <c r="G35" s="18" t="str">
        <f aca="false">IF((IF(AND($F$28&lt;&gt;"Done",$F$28&lt;&gt;"N/A"),1,0))&gt;0,"BLOCKED","Ready")</f>
        <v>BLOCKED</v>
      </c>
      <c r="H35" s="20"/>
      <c r="I35" s="20"/>
      <c r="J35" s="20"/>
      <c r="K35" s="20"/>
      <c r="L35" s="18"/>
      <c r="M35" s="19"/>
    </row>
    <row r="36" customFormat="false" ht="15" hidden="false" customHeight="false" outlineLevel="0" collapsed="false">
      <c r="A36" s="18" t="s">
        <v>205</v>
      </c>
      <c r="B36" s="18" t="n">
        <v>4</v>
      </c>
      <c r="C36" s="19" t="s">
        <v>165</v>
      </c>
      <c r="D36" s="19" t="s">
        <v>206</v>
      </c>
      <c r="E36" s="19" t="s">
        <v>184</v>
      </c>
      <c r="F36" s="18" t="s">
        <v>120</v>
      </c>
      <c r="G36" s="18" t="str">
        <f aca="false">IF((IF(AND($F$28&lt;&gt;"Done",$F$28&lt;&gt;"N/A"),1,0))&gt;0,"BLOCKED","Ready")</f>
        <v>BLOCKED</v>
      </c>
      <c r="H36" s="20"/>
      <c r="I36" s="20"/>
      <c r="J36" s="20"/>
      <c r="K36" s="20"/>
      <c r="L36" s="18"/>
      <c r="M36" s="19"/>
    </row>
    <row r="37" customFormat="false" ht="15" hidden="false" customHeight="false" outlineLevel="0" collapsed="false">
      <c r="A37" s="18" t="s">
        <v>207</v>
      </c>
      <c r="B37" s="18" t="n">
        <v>4</v>
      </c>
      <c r="C37" s="19" t="s">
        <v>165</v>
      </c>
      <c r="D37" s="19" t="s">
        <v>208</v>
      </c>
      <c r="E37" s="19" t="s">
        <v>184</v>
      </c>
      <c r="F37" s="18" t="s">
        <v>120</v>
      </c>
      <c r="G37" s="18" t="str">
        <f aca="false">IF((IF(AND($F$28&lt;&gt;"Done",$F$28&lt;&gt;"N/A"),1,0))&gt;0,"BLOCKED","Ready")</f>
        <v>BLOCKED</v>
      </c>
      <c r="H37" s="20"/>
      <c r="I37" s="20"/>
      <c r="J37" s="20"/>
      <c r="K37" s="20"/>
      <c r="L37" s="18"/>
      <c r="M37" s="19"/>
    </row>
    <row r="38" customFormat="false" ht="23.85" hidden="false" customHeight="false" outlineLevel="0" collapsed="false">
      <c r="A38" s="18" t="s">
        <v>209</v>
      </c>
      <c r="B38" s="18" t="n">
        <v>4</v>
      </c>
      <c r="C38" s="19" t="s">
        <v>187</v>
      </c>
      <c r="D38" s="19" t="s">
        <v>210</v>
      </c>
      <c r="E38" s="19" t="s">
        <v>211</v>
      </c>
      <c r="F38" s="18" t="s">
        <v>120</v>
      </c>
      <c r="G38" s="18" t="str">
        <f aca="false">IF((IF(AND($F$29&lt;&gt;"Done",$F$29&lt;&gt;"N/A"),1,0)+IF(AND($F$16&lt;&gt;"Done",$F$16&lt;&gt;"N/A"),1,0))&gt;0,"BLOCKED","Ready")</f>
        <v>BLOCKED</v>
      </c>
      <c r="H38" s="20"/>
      <c r="I38" s="20"/>
      <c r="J38" s="20"/>
      <c r="K38" s="20"/>
      <c r="L38" s="18"/>
      <c r="M38" s="19"/>
    </row>
    <row r="39" customFormat="false" ht="23.85" hidden="false" customHeight="false" outlineLevel="0" collapsed="false">
      <c r="A39" s="18" t="s">
        <v>212</v>
      </c>
      <c r="B39" s="18" t="n">
        <v>4</v>
      </c>
      <c r="C39" s="19" t="s">
        <v>187</v>
      </c>
      <c r="D39" s="19" t="s">
        <v>213</v>
      </c>
      <c r="E39" s="19" t="s">
        <v>214</v>
      </c>
      <c r="F39" s="18" t="s">
        <v>120</v>
      </c>
      <c r="G39" s="18" t="str">
        <f aca="false">IF((IF(AND($F$30&lt;&gt;"Done",$F$30&lt;&gt;"N/A"),1,0)+IF(AND($F$38&lt;&gt;"Done",$F$38&lt;&gt;"N/A"),1,0))&gt;0,"BLOCKED","Ready")</f>
        <v>BLOCKED</v>
      </c>
      <c r="H39" s="20"/>
      <c r="I39" s="20"/>
      <c r="J39" s="20"/>
      <c r="K39" s="20"/>
      <c r="L39" s="18"/>
      <c r="M39" s="19"/>
    </row>
    <row r="40" customFormat="false" ht="23.85" hidden="false" customHeight="false" outlineLevel="0" collapsed="false">
      <c r="A40" s="18" t="s">
        <v>215</v>
      </c>
      <c r="B40" s="18" t="n">
        <v>4</v>
      </c>
      <c r="C40" s="19" t="s">
        <v>187</v>
      </c>
      <c r="D40" s="19" t="s">
        <v>216</v>
      </c>
      <c r="E40" s="19" t="s">
        <v>217</v>
      </c>
      <c r="F40" s="18" t="s">
        <v>120</v>
      </c>
      <c r="G40" s="18" t="str">
        <f aca="false">IF((IF(AND($F$16&lt;&gt;"Done",$F$16&lt;&gt;"N/A"),1,0)+IF(AND($F$30&lt;&gt;"Done",$F$30&lt;&gt;"N/A"),1,0))&gt;0,"BLOCKED","Ready")</f>
        <v>BLOCKED</v>
      </c>
      <c r="H40" s="20"/>
      <c r="I40" s="20"/>
      <c r="J40" s="20"/>
      <c r="K40" s="20"/>
      <c r="L40" s="18"/>
      <c r="M40" s="19"/>
    </row>
    <row r="41" customFormat="false" ht="23.85" hidden="false" customHeight="false" outlineLevel="0" collapsed="false">
      <c r="A41" s="15" t="s">
        <v>218</v>
      </c>
      <c r="B41" s="15" t="n">
        <v>5</v>
      </c>
      <c r="C41" s="16" t="s">
        <v>219</v>
      </c>
      <c r="D41" s="16" t="s">
        <v>220</v>
      </c>
      <c r="E41" s="16" t="s">
        <v>221</v>
      </c>
      <c r="F41" s="15" t="s">
        <v>120</v>
      </c>
      <c r="G41" s="15" t="str">
        <f aca="false">IF((IF(AND($F$20&lt;&gt;"Done",$F$20&lt;&gt;"N/A"),1,0)+IF(AND($F$34&lt;&gt;"Done",$F$34&lt;&gt;"N/A"),1,0))&gt;0,"BLOCKED","Ready")</f>
        <v>BLOCKED</v>
      </c>
      <c r="H41" s="17"/>
      <c r="I41" s="17"/>
      <c r="J41" s="17"/>
      <c r="K41" s="17"/>
      <c r="L41" s="15"/>
      <c r="M41" s="16"/>
    </row>
    <row r="42" customFormat="false" ht="15" hidden="false" customHeight="false" outlineLevel="0" collapsed="false">
      <c r="A42" s="15" t="s">
        <v>222</v>
      </c>
      <c r="B42" s="15" t="n">
        <v>5</v>
      </c>
      <c r="C42" s="16" t="s">
        <v>219</v>
      </c>
      <c r="D42" s="16" t="s">
        <v>223</v>
      </c>
      <c r="E42" s="16" t="s">
        <v>162</v>
      </c>
      <c r="F42" s="15" t="s">
        <v>120</v>
      </c>
      <c r="G42" s="15" t="str">
        <f aca="false">IF((IF(AND($F$20&lt;&gt;"Done",$F$20&lt;&gt;"N/A"),1,0))&gt;0,"BLOCKED","Ready")</f>
        <v>BLOCKED</v>
      </c>
      <c r="H42" s="17"/>
      <c r="I42" s="17"/>
      <c r="J42" s="17"/>
      <c r="K42" s="17"/>
      <c r="L42" s="15"/>
      <c r="M42" s="16"/>
    </row>
    <row r="43" customFormat="false" ht="23.85" hidden="false" customHeight="false" outlineLevel="0" collapsed="false">
      <c r="A43" s="15" t="s">
        <v>224</v>
      </c>
      <c r="B43" s="15" t="n">
        <v>5</v>
      </c>
      <c r="C43" s="16" t="s">
        <v>187</v>
      </c>
      <c r="D43" s="16" t="s">
        <v>225</v>
      </c>
      <c r="E43" s="16" t="s">
        <v>226</v>
      </c>
      <c r="F43" s="15" t="s">
        <v>120</v>
      </c>
      <c r="G43" s="15" t="str">
        <f aca="false">IF((IF(AND($F$39&lt;&gt;"Done",$F$39&lt;&gt;"N/A"),1,0)+IF(AND($F$26&lt;&gt;"Done",$F$26&lt;&gt;"N/A"),1,0))&gt;0,"BLOCKED","Ready")</f>
        <v>BLOCKED</v>
      </c>
      <c r="H43" s="17"/>
      <c r="I43" s="17"/>
      <c r="J43" s="17"/>
      <c r="K43" s="17"/>
      <c r="L43" s="15"/>
      <c r="M43" s="16"/>
    </row>
    <row r="44" customFormat="false" ht="23.85" hidden="false" customHeight="false" outlineLevel="0" collapsed="false">
      <c r="A44" s="15" t="s">
        <v>227</v>
      </c>
      <c r="B44" s="15" t="n">
        <v>5</v>
      </c>
      <c r="C44" s="16" t="s">
        <v>228</v>
      </c>
      <c r="D44" s="16" t="s">
        <v>229</v>
      </c>
      <c r="E44" s="16" t="s">
        <v>230</v>
      </c>
      <c r="F44" s="15" t="s">
        <v>120</v>
      </c>
      <c r="G44" s="15" t="str">
        <f aca="false">IF((IF(AND($F$16&lt;&gt;"Done",$F$16&lt;&gt;"N/A"),1,0)+IF(AND($F$26&lt;&gt;"Done",$F$26&lt;&gt;"N/A"),1,0)+IF(AND($F$24&lt;&gt;"Done",$F$24&lt;&gt;"N/A"),1,0))&gt;0,"BLOCKED","Ready")</f>
        <v>BLOCKED</v>
      </c>
      <c r="H44" s="17"/>
      <c r="I44" s="17"/>
      <c r="J44" s="17"/>
      <c r="K44" s="17"/>
      <c r="L44" s="15"/>
      <c r="M44" s="16"/>
    </row>
    <row r="45" customFormat="false" ht="35.05" hidden="false" customHeight="false" outlineLevel="0" collapsed="false">
      <c r="A45" s="15" t="s">
        <v>231</v>
      </c>
      <c r="B45" s="15" t="n">
        <v>5</v>
      </c>
      <c r="C45" s="16" t="s">
        <v>232</v>
      </c>
      <c r="D45" s="16" t="s">
        <v>233</v>
      </c>
      <c r="E45" s="16" t="s">
        <v>234</v>
      </c>
      <c r="F45" s="15" t="s">
        <v>120</v>
      </c>
      <c r="G45" s="15" t="str">
        <f aca="false">IF((IF(AND($F$15&lt;&gt;"Done",$F$15&lt;&gt;"N/A"),1,0)+IF(AND($F$39&lt;&gt;"Done",$F$39&lt;&gt;"N/A"),1,0))&gt;0,"BLOCKED","Ready")</f>
        <v>BLOCKED</v>
      </c>
      <c r="H45" s="17"/>
      <c r="I45" s="17"/>
      <c r="J45" s="17"/>
      <c r="K45" s="17"/>
      <c r="L45" s="15"/>
      <c r="M45" s="16"/>
    </row>
    <row r="46" customFormat="false" ht="35.05" hidden="false" customHeight="false" outlineLevel="0" collapsed="false">
      <c r="A46" s="15" t="s">
        <v>235</v>
      </c>
      <c r="B46" s="15" t="n">
        <v>5</v>
      </c>
      <c r="C46" s="16" t="s">
        <v>236</v>
      </c>
      <c r="D46" s="16" t="s">
        <v>237</v>
      </c>
      <c r="E46" s="16" t="s">
        <v>238</v>
      </c>
      <c r="F46" s="15" t="s">
        <v>120</v>
      </c>
      <c r="G46" s="15" t="str">
        <f aca="false">IF((IF(AND($F$39&lt;&gt;"Done",$F$39&lt;&gt;"N/A"),1,0)+IF(AND($F$16&lt;&gt;"Done",$F$16&lt;&gt;"N/A"),1,0))&gt;0,"BLOCKED","Ready")</f>
        <v>BLOCKED</v>
      </c>
      <c r="H46" s="17"/>
      <c r="I46" s="17"/>
      <c r="J46" s="17"/>
      <c r="K46" s="17"/>
      <c r="L46" s="15"/>
      <c r="M46" s="16"/>
    </row>
    <row r="47" customFormat="false" ht="35.05" hidden="false" customHeight="false" outlineLevel="0" collapsed="false">
      <c r="A47" s="15" t="s">
        <v>239</v>
      </c>
      <c r="B47" s="15" t="n">
        <v>5</v>
      </c>
      <c r="C47" s="16" t="s">
        <v>240</v>
      </c>
      <c r="D47" s="16" t="s">
        <v>241</v>
      </c>
      <c r="E47" s="16" t="s">
        <v>242</v>
      </c>
      <c r="F47" s="15" t="s">
        <v>120</v>
      </c>
      <c r="G47" s="15" t="str">
        <f aca="false">IF((IF(AND($F$29&lt;&gt;"Done",$F$29&lt;&gt;"N/A"),1,0)+IF(AND($F$21&lt;&gt;"Done",$F$21&lt;&gt;"N/A"),1,0))&gt;0,"BLOCKED","Ready")</f>
        <v>BLOCKED</v>
      </c>
      <c r="H47" s="17"/>
      <c r="I47" s="17"/>
      <c r="J47" s="17"/>
      <c r="K47" s="17"/>
      <c r="L47" s="15"/>
      <c r="M47" s="16"/>
    </row>
    <row r="48" customFormat="false" ht="23.85" hidden="false" customHeight="false" outlineLevel="0" collapsed="false">
      <c r="A48" s="18" t="s">
        <v>243</v>
      </c>
      <c r="B48" s="18" t="n">
        <v>6</v>
      </c>
      <c r="C48" s="19" t="s">
        <v>240</v>
      </c>
      <c r="D48" s="19" t="s">
        <v>244</v>
      </c>
      <c r="E48" s="19" t="s">
        <v>245</v>
      </c>
      <c r="F48" s="18" t="s">
        <v>120</v>
      </c>
      <c r="G48" s="18" t="str">
        <f aca="false">IF((IF(AND($F$47&lt;&gt;"Done",$F$47&lt;&gt;"N/A"),1,0)+IF(AND($F$38&lt;&gt;"Done",$F$38&lt;&gt;"N/A"),1,0))&gt;0,"BLOCKED","Ready")</f>
        <v>BLOCKED</v>
      </c>
      <c r="H48" s="20"/>
      <c r="I48" s="20"/>
      <c r="J48" s="20"/>
      <c r="K48" s="20"/>
      <c r="L48" s="18"/>
      <c r="M48" s="19"/>
    </row>
    <row r="49" customFormat="false" ht="35.05" hidden="false" customHeight="false" outlineLevel="0" collapsed="false">
      <c r="A49" s="18" t="s">
        <v>246</v>
      </c>
      <c r="B49" s="18" t="n">
        <v>6</v>
      </c>
      <c r="C49" s="19" t="s">
        <v>240</v>
      </c>
      <c r="D49" s="19" t="s">
        <v>247</v>
      </c>
      <c r="E49" s="19" t="s">
        <v>248</v>
      </c>
      <c r="F49" s="18" t="s">
        <v>120</v>
      </c>
      <c r="G49" s="18" t="str">
        <f aca="false">IF((IF(AND($F$48&lt;&gt;"Done",$F$48&lt;&gt;"N/A"),1,0)+IF(AND($F$32&lt;&gt;"Done",$F$32&lt;&gt;"N/A"),1,0)+IF(AND($F$24&lt;&gt;"Done",$F$24&lt;&gt;"N/A"),1,0))&gt;0,"BLOCKED","Ready")</f>
        <v>BLOCKED</v>
      </c>
      <c r="H49" s="20"/>
      <c r="I49" s="20"/>
      <c r="J49" s="20"/>
      <c r="K49" s="20"/>
      <c r="L49" s="18"/>
      <c r="M49" s="19"/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F4:F49" type="list">
      <formula1>"Not Started,In Progress,Done,N/A,Blocked"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6" t="s">
        <v>249</v>
      </c>
      <c r="B1" s="6"/>
      <c r="C1" s="6"/>
      <c r="D1" s="6"/>
      <c r="E1" s="6"/>
    </row>
    <row r="3" customFormat="false" ht="15" hidden="false" customHeight="false" outlineLevel="0" collapsed="false">
      <c r="A3" s="7" t="s">
        <v>250</v>
      </c>
      <c r="B3" s="7" t="s">
        <v>106</v>
      </c>
      <c r="C3" s="7" t="s">
        <v>104</v>
      </c>
      <c r="D3" s="7" t="s">
        <v>251</v>
      </c>
      <c r="E3" s="7" t="s">
        <v>252</v>
      </c>
    </row>
    <row r="4" customFormat="false" ht="15" hidden="false" customHeight="false" outlineLevel="0" collapsed="false">
      <c r="A4" s="10" t="s">
        <v>116</v>
      </c>
      <c r="B4" s="10" t="s">
        <v>118</v>
      </c>
      <c r="C4" s="10" t="n">
        <v>1</v>
      </c>
      <c r="D4" s="10" t="s">
        <v>119</v>
      </c>
      <c r="E4" s="10" t="s">
        <v>253</v>
      </c>
    </row>
    <row r="5" customFormat="false" ht="15" hidden="false" customHeight="false" outlineLevel="0" collapsed="false">
      <c r="A5" s="10" t="s">
        <v>122</v>
      </c>
      <c r="B5" s="10" t="s">
        <v>123</v>
      </c>
      <c r="C5" s="10" t="n">
        <v>1</v>
      </c>
      <c r="D5" s="10" t="s">
        <v>116</v>
      </c>
      <c r="E5" s="10" t="s">
        <v>118</v>
      </c>
    </row>
    <row r="6" customFormat="false" ht="15" hidden="false" customHeight="false" outlineLevel="0" collapsed="false">
      <c r="A6" s="10" t="s">
        <v>124</v>
      </c>
      <c r="B6" s="10" t="s">
        <v>125</v>
      </c>
      <c r="C6" s="10" t="n">
        <v>1</v>
      </c>
      <c r="D6" s="10" t="s">
        <v>122</v>
      </c>
      <c r="E6" s="10" t="s">
        <v>123</v>
      </c>
    </row>
    <row r="7" customFormat="false" ht="23.85" hidden="false" customHeight="false" outlineLevel="0" collapsed="false">
      <c r="A7" s="10" t="s">
        <v>126</v>
      </c>
      <c r="B7" s="10" t="s">
        <v>127</v>
      </c>
      <c r="C7" s="10" t="n">
        <v>1</v>
      </c>
      <c r="D7" s="10" t="s">
        <v>124</v>
      </c>
      <c r="E7" s="10" t="s">
        <v>125</v>
      </c>
    </row>
    <row r="8" customFormat="false" ht="15" hidden="false" customHeight="false" outlineLevel="0" collapsed="false">
      <c r="A8" s="10" t="s">
        <v>128</v>
      </c>
      <c r="B8" s="10" t="s">
        <v>129</v>
      </c>
      <c r="C8" s="10" t="n">
        <v>1</v>
      </c>
      <c r="D8" s="10" t="s">
        <v>124</v>
      </c>
      <c r="E8" s="10" t="s">
        <v>125</v>
      </c>
    </row>
    <row r="9" customFormat="false" ht="23.85" hidden="false" customHeight="false" outlineLevel="0" collapsed="false">
      <c r="A9" s="10" t="s">
        <v>130</v>
      </c>
      <c r="B9" s="10" t="s">
        <v>131</v>
      </c>
      <c r="C9" s="10" t="n">
        <v>1</v>
      </c>
      <c r="D9" s="10" t="s">
        <v>126</v>
      </c>
      <c r="E9" s="10" t="s">
        <v>127</v>
      </c>
    </row>
    <row r="10" customFormat="false" ht="15" hidden="false" customHeight="false" outlineLevel="0" collapsed="false">
      <c r="A10" s="10" t="s">
        <v>130</v>
      </c>
      <c r="B10" s="10" t="s">
        <v>131</v>
      </c>
      <c r="C10" s="10" t="n">
        <v>1</v>
      </c>
      <c r="D10" s="10" t="s">
        <v>128</v>
      </c>
      <c r="E10" s="10" t="s">
        <v>129</v>
      </c>
    </row>
    <row r="11" customFormat="false" ht="15" hidden="false" customHeight="false" outlineLevel="0" collapsed="false">
      <c r="A11" s="10" t="s">
        <v>133</v>
      </c>
      <c r="B11" s="10" t="s">
        <v>134</v>
      </c>
      <c r="C11" s="10" t="n">
        <v>1</v>
      </c>
      <c r="D11" s="10" t="s">
        <v>130</v>
      </c>
      <c r="E11" s="10" t="s">
        <v>131</v>
      </c>
    </row>
    <row r="12" customFormat="false" ht="15" hidden="false" customHeight="false" outlineLevel="0" collapsed="false">
      <c r="A12" s="10" t="s">
        <v>135</v>
      </c>
      <c r="B12" s="10" t="s">
        <v>136</v>
      </c>
      <c r="C12" s="10" t="n">
        <v>1</v>
      </c>
      <c r="D12" s="10" t="s">
        <v>133</v>
      </c>
      <c r="E12" s="10" t="s">
        <v>134</v>
      </c>
    </row>
    <row r="13" customFormat="false" ht="15" hidden="false" customHeight="false" outlineLevel="0" collapsed="false">
      <c r="A13" s="10" t="s">
        <v>137</v>
      </c>
      <c r="B13" s="10" t="s">
        <v>138</v>
      </c>
      <c r="C13" s="10" t="n">
        <v>1</v>
      </c>
      <c r="D13" s="10" t="s">
        <v>135</v>
      </c>
      <c r="E13" s="10" t="s">
        <v>136</v>
      </c>
    </row>
    <row r="14" customFormat="false" ht="15" hidden="false" customHeight="false" outlineLevel="0" collapsed="false">
      <c r="A14" s="10" t="s">
        <v>139</v>
      </c>
      <c r="B14" s="10" t="s">
        <v>140</v>
      </c>
      <c r="C14" s="10" t="n">
        <v>1</v>
      </c>
      <c r="D14" s="10" t="s">
        <v>122</v>
      </c>
      <c r="E14" s="10" t="s">
        <v>123</v>
      </c>
    </row>
    <row r="15" customFormat="false" ht="15" hidden="false" customHeight="false" outlineLevel="0" collapsed="false">
      <c r="A15" s="10" t="s">
        <v>139</v>
      </c>
      <c r="B15" s="10" t="s">
        <v>140</v>
      </c>
      <c r="C15" s="10" t="n">
        <v>1</v>
      </c>
      <c r="D15" s="10" t="s">
        <v>116</v>
      </c>
      <c r="E15" s="10" t="s">
        <v>118</v>
      </c>
    </row>
    <row r="16" customFormat="false" ht="15" hidden="false" customHeight="false" outlineLevel="0" collapsed="false">
      <c r="A16" s="10" t="s">
        <v>142</v>
      </c>
      <c r="B16" s="10" t="s">
        <v>143</v>
      </c>
      <c r="C16" s="10" t="n">
        <v>1</v>
      </c>
      <c r="D16" s="10" t="s">
        <v>122</v>
      </c>
      <c r="E16" s="10" t="s">
        <v>123</v>
      </c>
    </row>
    <row r="17" customFormat="false" ht="23.85" hidden="false" customHeight="false" outlineLevel="0" collapsed="false">
      <c r="A17" s="10" t="s">
        <v>144</v>
      </c>
      <c r="B17" s="10" t="s">
        <v>146</v>
      </c>
      <c r="C17" s="10" t="n">
        <v>2</v>
      </c>
      <c r="D17" s="10" t="s">
        <v>116</v>
      </c>
      <c r="E17" s="10" t="s">
        <v>118</v>
      </c>
    </row>
    <row r="18" customFormat="false" ht="15" hidden="false" customHeight="false" outlineLevel="0" collapsed="false">
      <c r="A18" s="10" t="s">
        <v>147</v>
      </c>
      <c r="B18" s="10" t="s">
        <v>148</v>
      </c>
      <c r="C18" s="10" t="n">
        <v>2</v>
      </c>
      <c r="D18" s="10" t="s">
        <v>144</v>
      </c>
      <c r="E18" s="10" t="s">
        <v>146</v>
      </c>
    </row>
    <row r="19" customFormat="false" ht="15" hidden="false" customHeight="false" outlineLevel="0" collapsed="false">
      <c r="A19" s="10" t="s">
        <v>147</v>
      </c>
      <c r="B19" s="10" t="s">
        <v>148</v>
      </c>
      <c r="C19" s="10" t="n">
        <v>2</v>
      </c>
      <c r="D19" s="10" t="s">
        <v>135</v>
      </c>
      <c r="E19" s="10" t="s">
        <v>136</v>
      </c>
    </row>
    <row r="20" customFormat="false" ht="15" hidden="false" customHeight="false" outlineLevel="0" collapsed="false">
      <c r="A20" s="10" t="s">
        <v>150</v>
      </c>
      <c r="B20" s="10" t="s">
        <v>152</v>
      </c>
      <c r="C20" s="10" t="n">
        <v>2</v>
      </c>
      <c r="D20" s="10" t="s">
        <v>130</v>
      </c>
      <c r="E20" s="10" t="s">
        <v>131</v>
      </c>
    </row>
    <row r="21" customFormat="false" ht="15" hidden="false" customHeight="false" outlineLevel="0" collapsed="false">
      <c r="A21" s="10" t="s">
        <v>150</v>
      </c>
      <c r="B21" s="10" t="s">
        <v>152</v>
      </c>
      <c r="C21" s="10" t="n">
        <v>2</v>
      </c>
      <c r="D21" s="10" t="s">
        <v>142</v>
      </c>
      <c r="E21" s="10" t="s">
        <v>143</v>
      </c>
    </row>
    <row r="22" customFormat="false" ht="15" hidden="false" customHeight="false" outlineLevel="0" collapsed="false">
      <c r="A22" s="10" t="s">
        <v>154</v>
      </c>
      <c r="B22" s="10" t="s">
        <v>155</v>
      </c>
      <c r="C22" s="10" t="n">
        <v>2</v>
      </c>
      <c r="D22" s="10" t="s">
        <v>133</v>
      </c>
      <c r="E22" s="10" t="s">
        <v>134</v>
      </c>
    </row>
    <row r="23" customFormat="false" ht="15" hidden="false" customHeight="false" outlineLevel="0" collapsed="false">
      <c r="A23" s="10" t="s">
        <v>154</v>
      </c>
      <c r="B23" s="10" t="s">
        <v>155</v>
      </c>
      <c r="C23" s="10" t="n">
        <v>2</v>
      </c>
      <c r="D23" s="10" t="s">
        <v>116</v>
      </c>
      <c r="E23" s="10" t="s">
        <v>118</v>
      </c>
    </row>
    <row r="24" customFormat="false" ht="15" hidden="false" customHeight="false" outlineLevel="0" collapsed="false">
      <c r="A24" s="10" t="s">
        <v>157</v>
      </c>
      <c r="B24" s="10" t="s">
        <v>159</v>
      </c>
      <c r="C24" s="10" t="n">
        <v>2</v>
      </c>
      <c r="D24" s="10" t="s">
        <v>135</v>
      </c>
      <c r="E24" s="10" t="s">
        <v>136</v>
      </c>
    </row>
    <row r="25" customFormat="false" ht="15" hidden="false" customHeight="false" outlineLevel="0" collapsed="false">
      <c r="A25" s="10" t="s">
        <v>157</v>
      </c>
      <c r="B25" s="10" t="s">
        <v>159</v>
      </c>
      <c r="C25" s="10" t="n">
        <v>2</v>
      </c>
      <c r="D25" s="10" t="s">
        <v>142</v>
      </c>
      <c r="E25" s="10" t="s">
        <v>143</v>
      </c>
    </row>
    <row r="26" customFormat="false" ht="15" hidden="false" customHeight="false" outlineLevel="0" collapsed="false">
      <c r="A26" s="10" t="s">
        <v>161</v>
      </c>
      <c r="B26" s="10" t="s">
        <v>162</v>
      </c>
      <c r="C26" s="10" t="n">
        <v>2</v>
      </c>
      <c r="D26" s="10" t="s">
        <v>135</v>
      </c>
      <c r="E26" s="10" t="s">
        <v>136</v>
      </c>
    </row>
    <row r="27" customFormat="false" ht="15" hidden="false" customHeight="false" outlineLevel="0" collapsed="false">
      <c r="A27" s="10" t="s">
        <v>161</v>
      </c>
      <c r="B27" s="10" t="s">
        <v>162</v>
      </c>
      <c r="C27" s="10" t="n">
        <v>2</v>
      </c>
      <c r="D27" s="10" t="s">
        <v>133</v>
      </c>
      <c r="E27" s="10" t="s">
        <v>134</v>
      </c>
    </row>
    <row r="28" customFormat="false" ht="23.85" hidden="false" customHeight="false" outlineLevel="0" collapsed="false">
      <c r="A28" s="10" t="s">
        <v>164</v>
      </c>
      <c r="B28" s="10" t="s">
        <v>166</v>
      </c>
      <c r="C28" s="10" t="n">
        <v>2</v>
      </c>
      <c r="D28" s="10" t="s">
        <v>135</v>
      </c>
      <c r="E28" s="10" t="s">
        <v>136</v>
      </c>
    </row>
    <row r="29" customFormat="false" ht="23.85" hidden="false" customHeight="false" outlineLevel="0" collapsed="false">
      <c r="A29" s="10" t="s">
        <v>164</v>
      </c>
      <c r="B29" s="10" t="s">
        <v>166</v>
      </c>
      <c r="C29" s="10" t="n">
        <v>2</v>
      </c>
      <c r="D29" s="10" t="s">
        <v>139</v>
      </c>
      <c r="E29" s="10" t="s">
        <v>140</v>
      </c>
    </row>
    <row r="30" customFormat="false" ht="15" hidden="false" customHeight="false" outlineLevel="0" collapsed="false">
      <c r="A30" s="10" t="s">
        <v>168</v>
      </c>
      <c r="B30" s="10" t="s">
        <v>169</v>
      </c>
      <c r="C30" s="10" t="n">
        <v>3</v>
      </c>
      <c r="D30" s="10" t="s">
        <v>150</v>
      </c>
      <c r="E30" s="10" t="s">
        <v>152</v>
      </c>
    </row>
    <row r="31" customFormat="false" ht="15" hidden="false" customHeight="false" outlineLevel="0" collapsed="false">
      <c r="A31" s="10" t="s">
        <v>170</v>
      </c>
      <c r="B31" s="10" t="s">
        <v>171</v>
      </c>
      <c r="C31" s="10" t="n">
        <v>3</v>
      </c>
      <c r="D31" s="10" t="s">
        <v>150</v>
      </c>
      <c r="E31" s="10" t="s">
        <v>152</v>
      </c>
    </row>
    <row r="32" customFormat="false" ht="15" hidden="false" customHeight="false" outlineLevel="0" collapsed="false">
      <c r="A32" s="10" t="s">
        <v>170</v>
      </c>
      <c r="B32" s="10" t="s">
        <v>171</v>
      </c>
      <c r="C32" s="10" t="n">
        <v>3</v>
      </c>
      <c r="D32" s="10" t="s">
        <v>154</v>
      </c>
      <c r="E32" s="10" t="s">
        <v>155</v>
      </c>
    </row>
    <row r="33" customFormat="false" ht="15" hidden="false" customHeight="false" outlineLevel="0" collapsed="false">
      <c r="A33" s="10" t="s">
        <v>170</v>
      </c>
      <c r="B33" s="10" t="s">
        <v>171</v>
      </c>
      <c r="C33" s="10" t="n">
        <v>3</v>
      </c>
      <c r="D33" s="10" t="s">
        <v>157</v>
      </c>
      <c r="E33" s="10" t="s">
        <v>159</v>
      </c>
    </row>
    <row r="34" customFormat="false" ht="15" hidden="false" customHeight="false" outlineLevel="0" collapsed="false">
      <c r="A34" s="10" t="s">
        <v>170</v>
      </c>
      <c r="B34" s="10" t="s">
        <v>171</v>
      </c>
      <c r="C34" s="10" t="n">
        <v>3</v>
      </c>
      <c r="D34" s="10" t="s">
        <v>168</v>
      </c>
      <c r="E34" s="10" t="s">
        <v>169</v>
      </c>
    </row>
    <row r="35" customFormat="false" ht="15" hidden="false" customHeight="false" outlineLevel="0" collapsed="false">
      <c r="A35" s="10" t="s">
        <v>173</v>
      </c>
      <c r="B35" s="10" t="s">
        <v>174</v>
      </c>
      <c r="C35" s="10" t="n">
        <v>3</v>
      </c>
      <c r="D35" s="10" t="s">
        <v>150</v>
      </c>
      <c r="E35" s="10" t="s">
        <v>152</v>
      </c>
    </row>
    <row r="36" customFormat="false" ht="15" hidden="false" customHeight="false" outlineLevel="0" collapsed="false">
      <c r="A36" s="10" t="s">
        <v>173</v>
      </c>
      <c r="B36" s="10" t="s">
        <v>174</v>
      </c>
      <c r="C36" s="10" t="n">
        <v>3</v>
      </c>
      <c r="D36" s="10" t="s">
        <v>154</v>
      </c>
      <c r="E36" s="10" t="s">
        <v>155</v>
      </c>
    </row>
    <row r="37" customFormat="false" ht="15" hidden="false" customHeight="false" outlineLevel="0" collapsed="false">
      <c r="A37" s="10" t="s">
        <v>173</v>
      </c>
      <c r="B37" s="10" t="s">
        <v>174</v>
      </c>
      <c r="C37" s="10" t="n">
        <v>3</v>
      </c>
      <c r="D37" s="10" t="s">
        <v>147</v>
      </c>
      <c r="E37" s="10" t="s">
        <v>148</v>
      </c>
    </row>
    <row r="38" customFormat="false" ht="15" hidden="false" customHeight="false" outlineLevel="0" collapsed="false">
      <c r="A38" s="10" t="s">
        <v>176</v>
      </c>
      <c r="B38" s="10" t="s">
        <v>177</v>
      </c>
      <c r="C38" s="10" t="n">
        <v>3</v>
      </c>
      <c r="D38" s="10" t="s">
        <v>150</v>
      </c>
      <c r="E38" s="10" t="s">
        <v>152</v>
      </c>
    </row>
    <row r="39" customFormat="false" ht="23.85" hidden="false" customHeight="false" outlineLevel="0" collapsed="false">
      <c r="A39" s="10" t="s">
        <v>178</v>
      </c>
      <c r="B39" s="10" t="s">
        <v>179</v>
      </c>
      <c r="C39" s="10" t="n">
        <v>3</v>
      </c>
      <c r="D39" s="10" t="s">
        <v>161</v>
      </c>
      <c r="E39" s="10" t="s">
        <v>162</v>
      </c>
    </row>
    <row r="40" customFormat="false" ht="23.85" hidden="false" customHeight="false" outlineLevel="0" collapsed="false">
      <c r="A40" s="10" t="s">
        <v>180</v>
      </c>
      <c r="B40" s="10" t="s">
        <v>181</v>
      </c>
      <c r="C40" s="10" t="n">
        <v>3</v>
      </c>
      <c r="D40" s="10" t="s">
        <v>157</v>
      </c>
      <c r="E40" s="10" t="s">
        <v>159</v>
      </c>
    </row>
    <row r="41" customFormat="false" ht="23.85" hidden="false" customHeight="false" outlineLevel="0" collapsed="false">
      <c r="A41" s="10" t="s">
        <v>180</v>
      </c>
      <c r="B41" s="10" t="s">
        <v>181</v>
      </c>
      <c r="C41" s="10" t="n">
        <v>3</v>
      </c>
      <c r="D41" s="10" t="s">
        <v>161</v>
      </c>
      <c r="E41" s="10" t="s">
        <v>162</v>
      </c>
    </row>
    <row r="42" customFormat="false" ht="23.85" hidden="false" customHeight="false" outlineLevel="0" collapsed="false">
      <c r="A42" s="10" t="s">
        <v>183</v>
      </c>
      <c r="B42" s="10" t="s">
        <v>184</v>
      </c>
      <c r="C42" s="10" t="n">
        <v>3</v>
      </c>
      <c r="D42" s="10" t="s">
        <v>164</v>
      </c>
      <c r="E42" s="10" t="s">
        <v>166</v>
      </c>
    </row>
    <row r="43" customFormat="false" ht="23.85" hidden="false" customHeight="false" outlineLevel="0" collapsed="false">
      <c r="A43" s="10" t="s">
        <v>183</v>
      </c>
      <c r="B43" s="10" t="s">
        <v>184</v>
      </c>
      <c r="C43" s="10" t="n">
        <v>3</v>
      </c>
      <c r="D43" s="10" t="s">
        <v>142</v>
      </c>
      <c r="E43" s="10" t="s">
        <v>143</v>
      </c>
    </row>
    <row r="44" customFormat="false" ht="15" hidden="false" customHeight="false" outlineLevel="0" collapsed="false">
      <c r="A44" s="10" t="s">
        <v>186</v>
      </c>
      <c r="B44" s="10" t="s">
        <v>188</v>
      </c>
      <c r="C44" s="10" t="n">
        <v>3</v>
      </c>
      <c r="D44" s="10" t="s">
        <v>142</v>
      </c>
      <c r="E44" s="10" t="s">
        <v>143</v>
      </c>
    </row>
    <row r="45" customFormat="false" ht="15" hidden="false" customHeight="false" outlineLevel="0" collapsed="false">
      <c r="A45" s="10" t="s">
        <v>186</v>
      </c>
      <c r="B45" s="10" t="s">
        <v>188</v>
      </c>
      <c r="C45" s="10" t="n">
        <v>3</v>
      </c>
      <c r="D45" s="10" t="s">
        <v>147</v>
      </c>
      <c r="E45" s="10" t="s">
        <v>148</v>
      </c>
    </row>
    <row r="46" customFormat="false" ht="15" hidden="false" customHeight="false" outlineLevel="0" collapsed="false">
      <c r="A46" s="10" t="s">
        <v>190</v>
      </c>
      <c r="B46" s="10" t="s">
        <v>191</v>
      </c>
      <c r="C46" s="10" t="n">
        <v>3</v>
      </c>
      <c r="D46" s="10" t="s">
        <v>161</v>
      </c>
      <c r="E46" s="10" t="s">
        <v>162</v>
      </c>
    </row>
    <row r="47" customFormat="false" ht="15" hidden="false" customHeight="false" outlineLevel="0" collapsed="false">
      <c r="A47" s="10" t="s">
        <v>192</v>
      </c>
      <c r="B47" s="10" t="s">
        <v>193</v>
      </c>
      <c r="C47" s="10" t="n">
        <v>4</v>
      </c>
      <c r="D47" s="10" t="s">
        <v>170</v>
      </c>
      <c r="E47" s="10" t="s">
        <v>171</v>
      </c>
    </row>
    <row r="48" customFormat="false" ht="15" hidden="false" customHeight="false" outlineLevel="0" collapsed="false">
      <c r="A48" s="10" t="s">
        <v>192</v>
      </c>
      <c r="B48" s="10" t="s">
        <v>193</v>
      </c>
      <c r="C48" s="10" t="n">
        <v>4</v>
      </c>
      <c r="D48" s="10" t="s">
        <v>183</v>
      </c>
      <c r="E48" s="10" t="s">
        <v>184</v>
      </c>
    </row>
    <row r="49" customFormat="false" ht="23.85" hidden="false" customHeight="false" outlineLevel="0" collapsed="false">
      <c r="A49" s="10" t="s">
        <v>195</v>
      </c>
      <c r="B49" s="10" t="s">
        <v>196</v>
      </c>
      <c r="C49" s="10" t="n">
        <v>4</v>
      </c>
      <c r="D49" s="10" t="s">
        <v>161</v>
      </c>
      <c r="E49" s="10" t="s">
        <v>162</v>
      </c>
    </row>
    <row r="50" customFormat="false" ht="23.85" hidden="false" customHeight="false" outlineLevel="0" collapsed="false">
      <c r="A50" s="10" t="s">
        <v>195</v>
      </c>
      <c r="B50" s="10" t="s">
        <v>196</v>
      </c>
      <c r="C50" s="10" t="n">
        <v>4</v>
      </c>
      <c r="D50" s="10" t="s">
        <v>178</v>
      </c>
      <c r="E50" s="10" t="s">
        <v>179</v>
      </c>
    </row>
    <row r="51" customFormat="false" ht="23.85" hidden="false" customHeight="false" outlineLevel="0" collapsed="false">
      <c r="A51" s="10" t="s">
        <v>195</v>
      </c>
      <c r="B51" s="10" t="s">
        <v>196</v>
      </c>
      <c r="C51" s="10" t="n">
        <v>4</v>
      </c>
      <c r="D51" s="10" t="s">
        <v>147</v>
      </c>
      <c r="E51" s="10" t="s">
        <v>148</v>
      </c>
    </row>
    <row r="52" customFormat="false" ht="23.85" hidden="false" customHeight="false" outlineLevel="0" collapsed="false">
      <c r="A52" s="10" t="s">
        <v>195</v>
      </c>
      <c r="B52" s="10" t="s">
        <v>196</v>
      </c>
      <c r="C52" s="10" t="n">
        <v>4</v>
      </c>
      <c r="D52" s="10" t="s">
        <v>173</v>
      </c>
      <c r="E52" s="10" t="s">
        <v>174</v>
      </c>
    </row>
    <row r="53" customFormat="false" ht="23.85" hidden="false" customHeight="false" outlineLevel="0" collapsed="false">
      <c r="A53" s="10" t="s">
        <v>198</v>
      </c>
      <c r="B53" s="10" t="s">
        <v>199</v>
      </c>
      <c r="C53" s="10" t="n">
        <v>4</v>
      </c>
      <c r="D53" s="10" t="s">
        <v>161</v>
      </c>
      <c r="E53" s="10" t="s">
        <v>162</v>
      </c>
    </row>
    <row r="54" customFormat="false" ht="23.85" hidden="false" customHeight="false" outlineLevel="0" collapsed="false">
      <c r="A54" s="10" t="s">
        <v>198</v>
      </c>
      <c r="B54" s="10" t="s">
        <v>199</v>
      </c>
      <c r="C54" s="10" t="n">
        <v>4</v>
      </c>
      <c r="D54" s="10" t="s">
        <v>150</v>
      </c>
      <c r="E54" s="10" t="s">
        <v>152</v>
      </c>
    </row>
    <row r="55" customFormat="false" ht="15" hidden="false" customHeight="false" outlineLevel="0" collapsed="false">
      <c r="A55" s="10" t="s">
        <v>201</v>
      </c>
      <c r="B55" s="10" t="s">
        <v>202</v>
      </c>
      <c r="C55" s="10" t="n">
        <v>4</v>
      </c>
      <c r="D55" s="10" t="s">
        <v>161</v>
      </c>
      <c r="E55" s="10" t="s">
        <v>162</v>
      </c>
    </row>
    <row r="56" customFormat="false" ht="15" hidden="false" customHeight="false" outlineLevel="0" collapsed="false">
      <c r="A56" s="10" t="s">
        <v>203</v>
      </c>
      <c r="B56" s="10" t="s">
        <v>204</v>
      </c>
      <c r="C56" s="10" t="n">
        <v>4</v>
      </c>
      <c r="D56" s="10" t="s">
        <v>183</v>
      </c>
      <c r="E56" s="10" t="s">
        <v>184</v>
      </c>
    </row>
    <row r="57" customFormat="false" ht="15" hidden="false" customHeight="false" outlineLevel="0" collapsed="false">
      <c r="A57" s="10" t="s">
        <v>205</v>
      </c>
      <c r="B57" s="10" t="s">
        <v>206</v>
      </c>
      <c r="C57" s="10" t="n">
        <v>4</v>
      </c>
      <c r="D57" s="10" t="s">
        <v>183</v>
      </c>
      <c r="E57" s="10" t="s">
        <v>184</v>
      </c>
    </row>
    <row r="58" customFormat="false" ht="23.85" hidden="false" customHeight="false" outlineLevel="0" collapsed="false">
      <c r="A58" s="10" t="s">
        <v>207</v>
      </c>
      <c r="B58" s="10" t="s">
        <v>208</v>
      </c>
      <c r="C58" s="10" t="n">
        <v>4</v>
      </c>
      <c r="D58" s="10" t="s">
        <v>183</v>
      </c>
      <c r="E58" s="10" t="s">
        <v>184</v>
      </c>
    </row>
    <row r="59" customFormat="false" ht="15" hidden="false" customHeight="false" outlineLevel="0" collapsed="false">
      <c r="A59" s="10" t="s">
        <v>209</v>
      </c>
      <c r="B59" s="10" t="s">
        <v>210</v>
      </c>
      <c r="C59" s="10" t="n">
        <v>4</v>
      </c>
      <c r="D59" s="10" t="s">
        <v>186</v>
      </c>
      <c r="E59" s="10" t="s">
        <v>188</v>
      </c>
    </row>
    <row r="60" customFormat="false" ht="15" hidden="false" customHeight="false" outlineLevel="0" collapsed="false">
      <c r="A60" s="10" t="s">
        <v>209</v>
      </c>
      <c r="B60" s="10" t="s">
        <v>210</v>
      </c>
      <c r="C60" s="10" t="n">
        <v>4</v>
      </c>
      <c r="D60" s="10" t="s">
        <v>147</v>
      </c>
      <c r="E60" s="10" t="s">
        <v>148</v>
      </c>
    </row>
    <row r="61" customFormat="false" ht="23.85" hidden="false" customHeight="false" outlineLevel="0" collapsed="false">
      <c r="A61" s="10" t="s">
        <v>212</v>
      </c>
      <c r="B61" s="10" t="s">
        <v>213</v>
      </c>
      <c r="C61" s="10" t="n">
        <v>4</v>
      </c>
      <c r="D61" s="10" t="s">
        <v>190</v>
      </c>
      <c r="E61" s="10" t="s">
        <v>191</v>
      </c>
    </row>
    <row r="62" customFormat="false" ht="23.85" hidden="false" customHeight="false" outlineLevel="0" collapsed="false">
      <c r="A62" s="10" t="s">
        <v>212</v>
      </c>
      <c r="B62" s="10" t="s">
        <v>213</v>
      </c>
      <c r="C62" s="10" t="n">
        <v>4</v>
      </c>
      <c r="D62" s="10" t="s">
        <v>209</v>
      </c>
      <c r="E62" s="10" t="s">
        <v>210</v>
      </c>
    </row>
    <row r="63" customFormat="false" ht="15" hidden="false" customHeight="false" outlineLevel="0" collapsed="false">
      <c r="A63" s="10" t="s">
        <v>215</v>
      </c>
      <c r="B63" s="10" t="s">
        <v>216</v>
      </c>
      <c r="C63" s="10" t="n">
        <v>4</v>
      </c>
      <c r="D63" s="10" t="s">
        <v>147</v>
      </c>
      <c r="E63" s="10" t="s">
        <v>148</v>
      </c>
    </row>
    <row r="64" customFormat="false" ht="15" hidden="false" customHeight="false" outlineLevel="0" collapsed="false">
      <c r="A64" s="10" t="s">
        <v>215</v>
      </c>
      <c r="B64" s="10" t="s">
        <v>216</v>
      </c>
      <c r="C64" s="10" t="n">
        <v>4</v>
      </c>
      <c r="D64" s="10" t="s">
        <v>190</v>
      </c>
      <c r="E64" s="10" t="s">
        <v>191</v>
      </c>
    </row>
    <row r="65" customFormat="false" ht="23.85" hidden="false" customHeight="false" outlineLevel="0" collapsed="false">
      <c r="A65" s="10" t="s">
        <v>218</v>
      </c>
      <c r="B65" s="10" t="s">
        <v>220</v>
      </c>
      <c r="C65" s="10" t="n">
        <v>5</v>
      </c>
      <c r="D65" s="10" t="s">
        <v>161</v>
      </c>
      <c r="E65" s="10" t="s">
        <v>162</v>
      </c>
    </row>
    <row r="66" customFormat="false" ht="23.85" hidden="false" customHeight="false" outlineLevel="0" collapsed="false">
      <c r="A66" s="10" t="s">
        <v>218</v>
      </c>
      <c r="B66" s="10" t="s">
        <v>220</v>
      </c>
      <c r="C66" s="10" t="n">
        <v>5</v>
      </c>
      <c r="D66" s="10" t="s">
        <v>201</v>
      </c>
      <c r="E66" s="10" t="s">
        <v>202</v>
      </c>
    </row>
    <row r="67" customFormat="false" ht="15" hidden="false" customHeight="false" outlineLevel="0" collapsed="false">
      <c r="A67" s="10" t="s">
        <v>222</v>
      </c>
      <c r="B67" s="10" t="s">
        <v>223</v>
      </c>
      <c r="C67" s="10" t="n">
        <v>5</v>
      </c>
      <c r="D67" s="10" t="s">
        <v>161</v>
      </c>
      <c r="E67" s="10" t="s">
        <v>162</v>
      </c>
    </row>
    <row r="68" customFormat="false" ht="23.85" hidden="false" customHeight="false" outlineLevel="0" collapsed="false">
      <c r="A68" s="10" t="s">
        <v>224</v>
      </c>
      <c r="B68" s="10" t="s">
        <v>225</v>
      </c>
      <c r="C68" s="10" t="n">
        <v>5</v>
      </c>
      <c r="D68" s="10" t="s">
        <v>212</v>
      </c>
      <c r="E68" s="10" t="s">
        <v>213</v>
      </c>
    </row>
    <row r="69" customFormat="false" ht="15" hidden="false" customHeight="false" outlineLevel="0" collapsed="false">
      <c r="A69" s="10" t="s">
        <v>224</v>
      </c>
      <c r="B69" s="10" t="s">
        <v>225</v>
      </c>
      <c r="C69" s="10" t="n">
        <v>5</v>
      </c>
      <c r="D69" s="10" t="s">
        <v>178</v>
      </c>
      <c r="E69" s="10" t="s">
        <v>179</v>
      </c>
    </row>
    <row r="70" customFormat="false" ht="15" hidden="false" customHeight="false" outlineLevel="0" collapsed="false">
      <c r="A70" s="10" t="s">
        <v>227</v>
      </c>
      <c r="B70" s="10" t="s">
        <v>229</v>
      </c>
      <c r="C70" s="10" t="n">
        <v>5</v>
      </c>
      <c r="D70" s="10" t="s">
        <v>147</v>
      </c>
      <c r="E70" s="10" t="s">
        <v>148</v>
      </c>
    </row>
    <row r="71" customFormat="false" ht="15" hidden="false" customHeight="false" outlineLevel="0" collapsed="false">
      <c r="A71" s="10" t="s">
        <v>227</v>
      </c>
      <c r="B71" s="10" t="s">
        <v>229</v>
      </c>
      <c r="C71" s="10" t="n">
        <v>5</v>
      </c>
      <c r="D71" s="10" t="s">
        <v>178</v>
      </c>
      <c r="E71" s="10" t="s">
        <v>179</v>
      </c>
    </row>
    <row r="72" customFormat="false" ht="15" hidden="false" customHeight="false" outlineLevel="0" collapsed="false">
      <c r="A72" s="10" t="s">
        <v>227</v>
      </c>
      <c r="B72" s="10" t="s">
        <v>229</v>
      </c>
      <c r="C72" s="10" t="n">
        <v>5</v>
      </c>
      <c r="D72" s="10" t="s">
        <v>173</v>
      </c>
      <c r="E72" s="10" t="s">
        <v>174</v>
      </c>
    </row>
    <row r="73" customFormat="false" ht="15" hidden="false" customHeight="false" outlineLevel="0" collapsed="false">
      <c r="A73" s="10" t="s">
        <v>231</v>
      </c>
      <c r="B73" s="10" t="s">
        <v>233</v>
      </c>
      <c r="C73" s="10" t="n">
        <v>5</v>
      </c>
      <c r="D73" s="10" t="s">
        <v>144</v>
      </c>
      <c r="E73" s="10" t="s">
        <v>146</v>
      </c>
    </row>
    <row r="74" customFormat="false" ht="23.85" hidden="false" customHeight="false" outlineLevel="0" collapsed="false">
      <c r="A74" s="10" t="s">
        <v>231</v>
      </c>
      <c r="B74" s="10" t="s">
        <v>233</v>
      </c>
      <c r="C74" s="10" t="n">
        <v>5</v>
      </c>
      <c r="D74" s="10" t="s">
        <v>212</v>
      </c>
      <c r="E74" s="10" t="s">
        <v>213</v>
      </c>
    </row>
    <row r="75" customFormat="false" ht="23.85" hidden="false" customHeight="false" outlineLevel="0" collapsed="false">
      <c r="A75" s="10" t="s">
        <v>235</v>
      </c>
      <c r="B75" s="10" t="s">
        <v>237</v>
      </c>
      <c r="C75" s="10" t="n">
        <v>5</v>
      </c>
      <c r="D75" s="10" t="s">
        <v>212</v>
      </c>
      <c r="E75" s="10" t="s">
        <v>213</v>
      </c>
    </row>
    <row r="76" customFormat="false" ht="15" hidden="false" customHeight="false" outlineLevel="0" collapsed="false">
      <c r="A76" s="10" t="s">
        <v>235</v>
      </c>
      <c r="B76" s="10" t="s">
        <v>237</v>
      </c>
      <c r="C76" s="10" t="n">
        <v>5</v>
      </c>
      <c r="D76" s="10" t="s">
        <v>147</v>
      </c>
      <c r="E76" s="10" t="s">
        <v>148</v>
      </c>
    </row>
    <row r="77" customFormat="false" ht="15" hidden="false" customHeight="false" outlineLevel="0" collapsed="false">
      <c r="A77" s="10" t="s">
        <v>239</v>
      </c>
      <c r="B77" s="10" t="s">
        <v>241</v>
      </c>
      <c r="C77" s="10" t="n">
        <v>5</v>
      </c>
      <c r="D77" s="10" t="s">
        <v>186</v>
      </c>
      <c r="E77" s="10" t="s">
        <v>188</v>
      </c>
    </row>
    <row r="78" customFormat="false" ht="23.85" hidden="false" customHeight="false" outlineLevel="0" collapsed="false">
      <c r="A78" s="10" t="s">
        <v>239</v>
      </c>
      <c r="B78" s="10" t="s">
        <v>241</v>
      </c>
      <c r="C78" s="10" t="n">
        <v>5</v>
      </c>
      <c r="D78" s="10" t="s">
        <v>164</v>
      </c>
      <c r="E78" s="10" t="s">
        <v>166</v>
      </c>
    </row>
    <row r="79" customFormat="false" ht="15" hidden="false" customHeight="false" outlineLevel="0" collapsed="false">
      <c r="A79" s="10" t="s">
        <v>243</v>
      </c>
      <c r="B79" s="10" t="s">
        <v>244</v>
      </c>
      <c r="C79" s="10" t="n">
        <v>6</v>
      </c>
      <c r="D79" s="10" t="s">
        <v>239</v>
      </c>
      <c r="E79" s="10" t="s">
        <v>241</v>
      </c>
    </row>
    <row r="80" customFormat="false" ht="15" hidden="false" customHeight="false" outlineLevel="0" collapsed="false">
      <c r="A80" s="10" t="s">
        <v>243</v>
      </c>
      <c r="B80" s="10" t="s">
        <v>244</v>
      </c>
      <c r="C80" s="10" t="n">
        <v>6</v>
      </c>
      <c r="D80" s="10" t="s">
        <v>209</v>
      </c>
      <c r="E80" s="10" t="s">
        <v>210</v>
      </c>
    </row>
    <row r="81" customFormat="false" ht="23.85" hidden="false" customHeight="false" outlineLevel="0" collapsed="false">
      <c r="A81" s="10" t="s">
        <v>246</v>
      </c>
      <c r="B81" s="10" t="s">
        <v>247</v>
      </c>
      <c r="C81" s="10" t="n">
        <v>6</v>
      </c>
      <c r="D81" s="10" t="s">
        <v>243</v>
      </c>
      <c r="E81" s="10" t="s">
        <v>244</v>
      </c>
    </row>
    <row r="82" customFormat="false" ht="23.85" hidden="false" customHeight="false" outlineLevel="0" collapsed="false">
      <c r="A82" s="10" t="s">
        <v>246</v>
      </c>
      <c r="B82" s="10" t="s">
        <v>247</v>
      </c>
      <c r="C82" s="10" t="n">
        <v>6</v>
      </c>
      <c r="D82" s="10" t="s">
        <v>195</v>
      </c>
      <c r="E82" s="10" t="s">
        <v>196</v>
      </c>
    </row>
    <row r="83" customFormat="false" ht="23.85" hidden="false" customHeight="false" outlineLevel="0" collapsed="false">
      <c r="A83" s="10" t="s">
        <v>246</v>
      </c>
      <c r="B83" s="10" t="s">
        <v>247</v>
      </c>
      <c r="C83" s="10" t="n">
        <v>6</v>
      </c>
      <c r="D83" s="10" t="s">
        <v>173</v>
      </c>
      <c r="E83" s="10" t="s">
        <v>174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21" t="s">
        <v>254</v>
      </c>
      <c r="B1" s="21"/>
      <c r="C1" s="21"/>
      <c r="D1" s="21"/>
      <c r="E1" s="21"/>
    </row>
    <row r="3" customFormat="false" ht="15" hidden="false" customHeight="false" outlineLevel="0" collapsed="false">
      <c r="A3" s="14" t="s">
        <v>104</v>
      </c>
      <c r="B3" s="14" t="s">
        <v>105</v>
      </c>
      <c r="C3" s="14" t="s">
        <v>255</v>
      </c>
      <c r="D3" s="14" t="s">
        <v>256</v>
      </c>
      <c r="E3" s="14" t="s">
        <v>257</v>
      </c>
    </row>
    <row r="4" customFormat="false" ht="23.85" hidden="false" customHeight="false" outlineLevel="0" collapsed="false">
      <c r="A4" s="11" t="n">
        <v>1</v>
      </c>
      <c r="B4" s="10" t="s">
        <v>117</v>
      </c>
      <c r="C4" s="13" t="s">
        <v>118</v>
      </c>
      <c r="D4" s="22" t="s">
        <v>258</v>
      </c>
      <c r="E4" s="10" t="s">
        <v>259</v>
      </c>
    </row>
    <row r="5" customFormat="false" ht="32.8" hidden="false" customHeight="false" outlineLevel="0" collapsed="false">
      <c r="A5" s="11" t="n">
        <v>1</v>
      </c>
      <c r="B5" s="10" t="s">
        <v>117</v>
      </c>
      <c r="C5" s="13" t="s">
        <v>123</v>
      </c>
      <c r="D5" s="22" t="s">
        <v>260</v>
      </c>
      <c r="E5" s="10" t="s">
        <v>261</v>
      </c>
    </row>
    <row r="6" customFormat="false" ht="23.85" hidden="false" customHeight="false" outlineLevel="0" collapsed="false">
      <c r="A6" s="11" t="n">
        <v>1</v>
      </c>
      <c r="B6" s="10" t="s">
        <v>117</v>
      </c>
      <c r="C6" s="13" t="s">
        <v>125</v>
      </c>
      <c r="D6" s="22" t="s">
        <v>262</v>
      </c>
      <c r="E6" s="10" t="s">
        <v>263</v>
      </c>
    </row>
    <row r="7" customFormat="false" ht="32.8" hidden="false" customHeight="false" outlineLevel="0" collapsed="false">
      <c r="A7" s="11" t="n">
        <v>1</v>
      </c>
      <c r="B7" s="10" t="s">
        <v>117</v>
      </c>
      <c r="C7" s="13" t="s">
        <v>127</v>
      </c>
      <c r="D7" s="22" t="s">
        <v>264</v>
      </c>
      <c r="E7" s="10" t="s">
        <v>265</v>
      </c>
    </row>
    <row r="8" customFormat="false" ht="23.85" hidden="false" customHeight="false" outlineLevel="0" collapsed="false">
      <c r="A8" s="11" t="n">
        <v>1</v>
      </c>
      <c r="B8" s="10" t="s">
        <v>117</v>
      </c>
      <c r="C8" s="13" t="s">
        <v>129</v>
      </c>
      <c r="D8" s="22" t="s">
        <v>266</v>
      </c>
      <c r="E8" s="10" t="s">
        <v>267</v>
      </c>
    </row>
    <row r="9" customFormat="false" ht="23.85" hidden="false" customHeight="false" outlineLevel="0" collapsed="false">
      <c r="A9" s="11" t="n">
        <v>1</v>
      </c>
      <c r="B9" s="10" t="s">
        <v>117</v>
      </c>
      <c r="C9" s="13" t="s">
        <v>131</v>
      </c>
      <c r="D9" s="22" t="s">
        <v>268</v>
      </c>
      <c r="E9" s="10" t="s">
        <v>269</v>
      </c>
    </row>
    <row r="10" customFormat="false" ht="22.35" hidden="false" customHeight="false" outlineLevel="0" collapsed="false">
      <c r="A10" s="11" t="n">
        <v>1</v>
      </c>
      <c r="B10" s="10" t="s">
        <v>117</v>
      </c>
      <c r="C10" s="13" t="s">
        <v>134</v>
      </c>
      <c r="D10" s="22" t="s">
        <v>270</v>
      </c>
      <c r="E10" s="10" t="s">
        <v>271</v>
      </c>
    </row>
    <row r="11" customFormat="false" ht="23.85" hidden="false" customHeight="false" outlineLevel="0" collapsed="false">
      <c r="A11" s="11" t="n">
        <v>1</v>
      </c>
      <c r="B11" s="10" t="s">
        <v>117</v>
      </c>
      <c r="C11" s="13" t="s">
        <v>136</v>
      </c>
      <c r="D11" s="22" t="s">
        <v>272</v>
      </c>
      <c r="E11" s="10" t="s">
        <v>273</v>
      </c>
    </row>
    <row r="12" customFormat="false" ht="23.85" hidden="false" customHeight="false" outlineLevel="0" collapsed="false">
      <c r="A12" s="11" t="n">
        <v>1</v>
      </c>
      <c r="B12" s="10" t="s">
        <v>117</v>
      </c>
      <c r="C12" s="13" t="s">
        <v>138</v>
      </c>
      <c r="D12" s="22" t="s">
        <v>274</v>
      </c>
      <c r="E12" s="10" t="s">
        <v>275</v>
      </c>
    </row>
    <row r="13" customFormat="false" ht="22.35" hidden="false" customHeight="false" outlineLevel="0" collapsed="false">
      <c r="A13" s="11" t="n">
        <v>1</v>
      </c>
      <c r="B13" s="10" t="s">
        <v>117</v>
      </c>
      <c r="C13" s="13" t="s">
        <v>140</v>
      </c>
      <c r="D13" s="22" t="s">
        <v>276</v>
      </c>
      <c r="E13" s="10" t="s">
        <v>277</v>
      </c>
    </row>
    <row r="14" customFormat="false" ht="23.85" hidden="false" customHeight="false" outlineLevel="0" collapsed="false">
      <c r="A14" s="11" t="n">
        <v>1</v>
      </c>
      <c r="B14" s="10" t="s">
        <v>117</v>
      </c>
      <c r="C14" s="13" t="s">
        <v>143</v>
      </c>
      <c r="D14" s="22" t="s">
        <v>278</v>
      </c>
      <c r="E14" s="10" t="s">
        <v>279</v>
      </c>
    </row>
    <row r="15" customFormat="false" ht="23.85" hidden="false" customHeight="false" outlineLevel="0" collapsed="false">
      <c r="A15" s="11" t="n">
        <v>2</v>
      </c>
      <c r="B15" s="10" t="s">
        <v>145</v>
      </c>
      <c r="C15" s="13" t="s">
        <v>146</v>
      </c>
      <c r="D15" s="22" t="s">
        <v>280</v>
      </c>
      <c r="E15" s="10" t="s">
        <v>281</v>
      </c>
    </row>
    <row r="16" customFormat="false" ht="23.85" hidden="false" customHeight="false" outlineLevel="0" collapsed="false">
      <c r="A16" s="11" t="n">
        <v>2</v>
      </c>
      <c r="B16" s="10" t="s">
        <v>145</v>
      </c>
      <c r="C16" s="13" t="s">
        <v>148</v>
      </c>
      <c r="D16" s="22" t="s">
        <v>282</v>
      </c>
      <c r="E16" s="10" t="s">
        <v>283</v>
      </c>
    </row>
    <row r="17" customFormat="false" ht="23.85" hidden="false" customHeight="false" outlineLevel="0" collapsed="false">
      <c r="A17" s="11" t="n">
        <v>2</v>
      </c>
      <c r="B17" s="10" t="s">
        <v>151</v>
      </c>
      <c r="C17" s="13" t="s">
        <v>152</v>
      </c>
      <c r="D17" s="22" t="s">
        <v>284</v>
      </c>
      <c r="E17" s="10" t="s">
        <v>285</v>
      </c>
    </row>
    <row r="18" customFormat="false" ht="23.85" hidden="false" customHeight="false" outlineLevel="0" collapsed="false">
      <c r="A18" s="11" t="n">
        <v>2</v>
      </c>
      <c r="B18" s="10" t="s">
        <v>151</v>
      </c>
      <c r="C18" s="13" t="s">
        <v>155</v>
      </c>
      <c r="D18" s="22" t="s">
        <v>286</v>
      </c>
      <c r="E18" s="10" t="s">
        <v>287</v>
      </c>
    </row>
    <row r="19" customFormat="false" ht="23.85" hidden="false" customHeight="false" outlineLevel="0" collapsed="false">
      <c r="A19" s="11" t="n">
        <v>2</v>
      </c>
      <c r="B19" s="10" t="s">
        <v>158</v>
      </c>
      <c r="C19" s="13" t="s">
        <v>159</v>
      </c>
      <c r="D19" s="22" t="s">
        <v>288</v>
      </c>
      <c r="E19" s="10" t="s">
        <v>289</v>
      </c>
    </row>
    <row r="20" customFormat="false" ht="23.85" hidden="false" customHeight="false" outlineLevel="0" collapsed="false">
      <c r="A20" s="11" t="n">
        <v>2</v>
      </c>
      <c r="B20" s="10" t="s">
        <v>158</v>
      </c>
      <c r="C20" s="13" t="s">
        <v>162</v>
      </c>
      <c r="D20" s="22" t="s">
        <v>290</v>
      </c>
      <c r="E20" s="10" t="s">
        <v>291</v>
      </c>
    </row>
    <row r="21" customFormat="false" ht="35.05" hidden="false" customHeight="false" outlineLevel="0" collapsed="false">
      <c r="A21" s="11" t="n">
        <v>2</v>
      </c>
      <c r="B21" s="10" t="s">
        <v>165</v>
      </c>
      <c r="C21" s="13" t="s">
        <v>166</v>
      </c>
      <c r="D21" s="22" t="s">
        <v>292</v>
      </c>
      <c r="E21" s="10" t="s">
        <v>293</v>
      </c>
    </row>
    <row r="22" customFormat="false" ht="23.85" hidden="false" customHeight="false" outlineLevel="0" collapsed="false">
      <c r="A22" s="11" t="n">
        <v>3</v>
      </c>
      <c r="B22" s="10" t="s">
        <v>151</v>
      </c>
      <c r="C22" s="13" t="s">
        <v>169</v>
      </c>
      <c r="D22" s="22" t="s">
        <v>294</v>
      </c>
      <c r="E22" s="10" t="s">
        <v>295</v>
      </c>
    </row>
    <row r="23" customFormat="false" ht="23.85" hidden="false" customHeight="false" outlineLevel="0" collapsed="false">
      <c r="A23" s="11" t="n">
        <v>3</v>
      </c>
      <c r="B23" s="10" t="s">
        <v>151</v>
      </c>
      <c r="C23" s="13" t="s">
        <v>171</v>
      </c>
      <c r="D23" s="22" t="s">
        <v>296</v>
      </c>
      <c r="E23" s="10" t="s">
        <v>297</v>
      </c>
    </row>
    <row r="24" customFormat="false" ht="23.85" hidden="false" customHeight="false" outlineLevel="0" collapsed="false">
      <c r="A24" s="11" t="n">
        <v>3</v>
      </c>
      <c r="B24" s="10" t="s">
        <v>151</v>
      </c>
      <c r="C24" s="13" t="s">
        <v>174</v>
      </c>
      <c r="D24" s="22" t="s">
        <v>298</v>
      </c>
      <c r="E24" s="10" t="s">
        <v>299</v>
      </c>
    </row>
    <row r="25" customFormat="false" ht="23.85" hidden="false" customHeight="false" outlineLevel="0" collapsed="false">
      <c r="A25" s="11" t="n">
        <v>3</v>
      </c>
      <c r="B25" s="10" t="s">
        <v>151</v>
      </c>
      <c r="C25" s="13" t="s">
        <v>177</v>
      </c>
      <c r="D25" s="22" t="s">
        <v>300</v>
      </c>
      <c r="E25" s="10" t="s">
        <v>301</v>
      </c>
    </row>
    <row r="26" customFormat="false" ht="23.85" hidden="false" customHeight="false" outlineLevel="0" collapsed="false">
      <c r="A26" s="11" t="n">
        <v>3</v>
      </c>
      <c r="B26" s="10" t="s">
        <v>158</v>
      </c>
      <c r="C26" s="13" t="s">
        <v>179</v>
      </c>
      <c r="D26" s="22" t="s">
        <v>302</v>
      </c>
      <c r="E26" s="10" t="s">
        <v>303</v>
      </c>
    </row>
    <row r="27" customFormat="false" ht="23.85" hidden="false" customHeight="false" outlineLevel="0" collapsed="false">
      <c r="A27" s="11" t="n">
        <v>3</v>
      </c>
      <c r="B27" s="10" t="s">
        <v>158</v>
      </c>
      <c r="C27" s="13" t="s">
        <v>181</v>
      </c>
      <c r="D27" s="22" t="s">
        <v>304</v>
      </c>
      <c r="E27" s="10" t="s">
        <v>305</v>
      </c>
    </row>
    <row r="28" customFormat="false" ht="23.85" hidden="false" customHeight="false" outlineLevel="0" collapsed="false">
      <c r="A28" s="11" t="n">
        <v>3</v>
      </c>
      <c r="B28" s="10" t="s">
        <v>165</v>
      </c>
      <c r="C28" s="13" t="s">
        <v>184</v>
      </c>
      <c r="D28" s="22" t="s">
        <v>306</v>
      </c>
      <c r="E28" s="10" t="s">
        <v>307</v>
      </c>
    </row>
    <row r="29" customFormat="false" ht="23.85" hidden="false" customHeight="false" outlineLevel="0" collapsed="false">
      <c r="A29" s="11" t="n">
        <v>3</v>
      </c>
      <c r="B29" s="10" t="s">
        <v>187</v>
      </c>
      <c r="C29" s="13" t="s">
        <v>188</v>
      </c>
      <c r="D29" s="22" t="s">
        <v>308</v>
      </c>
      <c r="E29" s="10" t="s">
        <v>309</v>
      </c>
    </row>
    <row r="30" customFormat="false" ht="23.85" hidden="false" customHeight="false" outlineLevel="0" collapsed="false">
      <c r="A30" s="11" t="n">
        <v>3</v>
      </c>
      <c r="B30" s="10" t="s">
        <v>187</v>
      </c>
      <c r="C30" s="13" t="s">
        <v>191</v>
      </c>
      <c r="D30" s="22" t="s">
        <v>310</v>
      </c>
      <c r="E30" s="10" t="s">
        <v>311</v>
      </c>
    </row>
    <row r="31" customFormat="false" ht="22.35" hidden="false" customHeight="false" outlineLevel="0" collapsed="false">
      <c r="A31" s="11" t="n">
        <v>4</v>
      </c>
      <c r="B31" s="10" t="s">
        <v>151</v>
      </c>
      <c r="C31" s="13" t="s">
        <v>193</v>
      </c>
      <c r="D31" s="22" t="s">
        <v>312</v>
      </c>
      <c r="E31" s="10" t="s">
        <v>313</v>
      </c>
    </row>
    <row r="32" customFormat="false" ht="23.85" hidden="false" customHeight="false" outlineLevel="0" collapsed="false">
      <c r="A32" s="11" t="n">
        <v>4</v>
      </c>
      <c r="B32" s="10" t="s">
        <v>158</v>
      </c>
      <c r="C32" s="13" t="s">
        <v>196</v>
      </c>
      <c r="D32" s="22" t="s">
        <v>314</v>
      </c>
      <c r="E32" s="10" t="s">
        <v>315</v>
      </c>
    </row>
    <row r="33" customFormat="false" ht="23.85" hidden="false" customHeight="false" outlineLevel="0" collapsed="false">
      <c r="A33" s="11" t="n">
        <v>4</v>
      </c>
      <c r="B33" s="10" t="s">
        <v>158</v>
      </c>
      <c r="C33" s="13" t="s">
        <v>199</v>
      </c>
      <c r="D33" s="22" t="s">
        <v>316</v>
      </c>
      <c r="E33" s="10" t="s">
        <v>317</v>
      </c>
    </row>
    <row r="34" customFormat="false" ht="23.85" hidden="false" customHeight="false" outlineLevel="0" collapsed="false">
      <c r="A34" s="11" t="n">
        <v>4</v>
      </c>
      <c r="B34" s="10" t="s">
        <v>158</v>
      </c>
      <c r="C34" s="13" t="s">
        <v>202</v>
      </c>
      <c r="D34" s="22" t="s">
        <v>318</v>
      </c>
      <c r="E34" s="10" t="s">
        <v>319</v>
      </c>
    </row>
    <row r="35" customFormat="false" ht="22.35" hidden="false" customHeight="false" outlineLevel="0" collapsed="false">
      <c r="A35" s="11" t="n">
        <v>4</v>
      </c>
      <c r="B35" s="10" t="s">
        <v>165</v>
      </c>
      <c r="C35" s="13" t="s">
        <v>204</v>
      </c>
      <c r="D35" s="22" t="s">
        <v>320</v>
      </c>
      <c r="E35" s="10" t="s">
        <v>321</v>
      </c>
    </row>
    <row r="36" customFormat="false" ht="23.85" hidden="false" customHeight="false" outlineLevel="0" collapsed="false">
      <c r="A36" s="11" t="n">
        <v>4</v>
      </c>
      <c r="B36" s="10" t="s">
        <v>165</v>
      </c>
      <c r="C36" s="13" t="s">
        <v>206</v>
      </c>
      <c r="D36" s="22" t="s">
        <v>322</v>
      </c>
      <c r="E36" s="10" t="s">
        <v>323</v>
      </c>
    </row>
    <row r="37" customFormat="false" ht="15" hidden="false" customHeight="false" outlineLevel="0" collapsed="false">
      <c r="A37" s="11" t="n">
        <v>4</v>
      </c>
      <c r="B37" s="10" t="s">
        <v>165</v>
      </c>
      <c r="C37" s="13" t="s">
        <v>208</v>
      </c>
      <c r="D37" s="22" t="s">
        <v>324</v>
      </c>
      <c r="E37" s="10" t="s">
        <v>325</v>
      </c>
    </row>
    <row r="38" customFormat="false" ht="23.85" hidden="false" customHeight="false" outlineLevel="0" collapsed="false">
      <c r="A38" s="11" t="n">
        <v>4</v>
      </c>
      <c r="B38" s="10" t="s">
        <v>187</v>
      </c>
      <c r="C38" s="13" t="s">
        <v>210</v>
      </c>
      <c r="D38" s="22" t="s">
        <v>326</v>
      </c>
      <c r="E38" s="10" t="s">
        <v>327</v>
      </c>
    </row>
    <row r="39" customFormat="false" ht="23.85" hidden="false" customHeight="false" outlineLevel="0" collapsed="false">
      <c r="A39" s="11" t="n">
        <v>4</v>
      </c>
      <c r="B39" s="10" t="s">
        <v>187</v>
      </c>
      <c r="C39" s="13" t="s">
        <v>213</v>
      </c>
      <c r="D39" s="22" t="s">
        <v>328</v>
      </c>
      <c r="E39" s="10" t="s">
        <v>329</v>
      </c>
    </row>
    <row r="40" customFormat="false" ht="23.85" hidden="false" customHeight="false" outlineLevel="0" collapsed="false">
      <c r="A40" s="11" t="n">
        <v>4</v>
      </c>
      <c r="B40" s="10" t="s">
        <v>187</v>
      </c>
      <c r="C40" s="13" t="s">
        <v>216</v>
      </c>
      <c r="D40" s="22" t="s">
        <v>330</v>
      </c>
      <c r="E40" s="10" t="s">
        <v>331</v>
      </c>
    </row>
    <row r="41" customFormat="false" ht="22.35" hidden="false" customHeight="false" outlineLevel="0" collapsed="false">
      <c r="A41" s="11" t="n">
        <v>5</v>
      </c>
      <c r="B41" s="10" t="s">
        <v>219</v>
      </c>
      <c r="C41" s="13" t="s">
        <v>220</v>
      </c>
      <c r="D41" s="22" t="s">
        <v>332</v>
      </c>
      <c r="E41" s="10" t="s">
        <v>333</v>
      </c>
    </row>
    <row r="42" customFormat="false" ht="23.85" hidden="false" customHeight="false" outlineLevel="0" collapsed="false">
      <c r="A42" s="11" t="n">
        <v>5</v>
      </c>
      <c r="B42" s="10" t="s">
        <v>219</v>
      </c>
      <c r="C42" s="13" t="s">
        <v>223</v>
      </c>
      <c r="D42" s="22" t="s">
        <v>334</v>
      </c>
      <c r="E42" s="10" t="s">
        <v>335</v>
      </c>
    </row>
    <row r="43" customFormat="false" ht="23.85" hidden="false" customHeight="false" outlineLevel="0" collapsed="false">
      <c r="A43" s="11" t="n">
        <v>5</v>
      </c>
      <c r="B43" s="10" t="s">
        <v>187</v>
      </c>
      <c r="C43" s="13" t="s">
        <v>225</v>
      </c>
      <c r="D43" s="22" t="s">
        <v>336</v>
      </c>
      <c r="E43" s="10" t="s">
        <v>337</v>
      </c>
    </row>
    <row r="44" customFormat="false" ht="23.85" hidden="false" customHeight="false" outlineLevel="0" collapsed="false">
      <c r="A44" s="11" t="n">
        <v>5</v>
      </c>
      <c r="B44" s="10" t="s">
        <v>228</v>
      </c>
      <c r="C44" s="13" t="s">
        <v>229</v>
      </c>
      <c r="D44" s="22" t="s">
        <v>338</v>
      </c>
      <c r="E44" s="10" t="s">
        <v>339</v>
      </c>
    </row>
    <row r="45" customFormat="false" ht="22.35" hidden="false" customHeight="false" outlineLevel="0" collapsed="false">
      <c r="A45" s="11" t="n">
        <v>5</v>
      </c>
      <c r="B45" s="10" t="s">
        <v>232</v>
      </c>
      <c r="C45" s="13" t="s">
        <v>233</v>
      </c>
      <c r="D45" s="22" t="s">
        <v>340</v>
      </c>
      <c r="E45" s="10" t="s">
        <v>341</v>
      </c>
    </row>
    <row r="46" customFormat="false" ht="23.85" hidden="false" customHeight="false" outlineLevel="0" collapsed="false">
      <c r="A46" s="11" t="n">
        <v>5</v>
      </c>
      <c r="B46" s="10" t="s">
        <v>236</v>
      </c>
      <c r="C46" s="13" t="s">
        <v>237</v>
      </c>
      <c r="D46" s="22" t="s">
        <v>342</v>
      </c>
      <c r="E46" s="10" t="s">
        <v>343</v>
      </c>
    </row>
    <row r="47" customFormat="false" ht="22.35" hidden="false" customHeight="false" outlineLevel="0" collapsed="false">
      <c r="A47" s="11" t="n">
        <v>5</v>
      </c>
      <c r="B47" s="10" t="s">
        <v>240</v>
      </c>
      <c r="C47" s="13" t="s">
        <v>241</v>
      </c>
      <c r="D47" s="22" t="s">
        <v>344</v>
      </c>
      <c r="E47" s="10" t="s">
        <v>345</v>
      </c>
    </row>
    <row r="48" customFormat="false" ht="23.85" hidden="false" customHeight="false" outlineLevel="0" collapsed="false">
      <c r="A48" s="11" t="n">
        <v>6</v>
      </c>
      <c r="B48" s="10" t="s">
        <v>240</v>
      </c>
      <c r="C48" s="13" t="s">
        <v>244</v>
      </c>
      <c r="D48" s="22" t="s">
        <v>346</v>
      </c>
      <c r="E48" s="10" t="s">
        <v>347</v>
      </c>
    </row>
    <row r="49" customFormat="false" ht="23.85" hidden="false" customHeight="false" outlineLevel="0" collapsed="false">
      <c r="A49" s="11" t="n">
        <v>6</v>
      </c>
      <c r="B49" s="10" t="s">
        <v>240</v>
      </c>
      <c r="C49" s="13" t="s">
        <v>247</v>
      </c>
      <c r="D49" s="22" t="s">
        <v>348</v>
      </c>
      <c r="E49" s="10" t="s">
        <v>349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5" min="3" style="0" width="10"/>
    <col collapsed="false" customWidth="true" hidden="false" outlineLevel="0" max="6" min="6" style="0" width="3"/>
    <col collapsed="false" customWidth="true" hidden="false" outlineLevel="0" max="10" min="7" style="0" width="10"/>
  </cols>
  <sheetData>
    <row r="2" customFormat="false" ht="18.55" hidden="false" customHeight="false" outlineLevel="0" collapsed="false">
      <c r="B2" s="23" t="s">
        <v>350</v>
      </c>
    </row>
    <row r="4" customFormat="false" ht="15" hidden="false" customHeight="false" outlineLevel="0" collapsed="false">
      <c r="B4" s="24" t="s">
        <v>351</v>
      </c>
    </row>
    <row r="5" customFormat="false" ht="15" hidden="false" customHeight="false" outlineLevel="0" collapsed="false">
      <c r="B5" s="5" t="s">
        <v>352</v>
      </c>
      <c r="C5" s="25" t="n">
        <f aca="false">COUNTA('3. Module Tracker'!A4:A49)</f>
        <v>46</v>
      </c>
    </row>
    <row r="6" customFormat="false" ht="15" hidden="false" customHeight="false" outlineLevel="0" collapsed="false">
      <c r="B6" s="5" t="s">
        <v>353</v>
      </c>
      <c r="C6" s="25" t="n">
        <f aca="false">COUNTIF('3. Module Tracker'!F4:F49,"Done")+COUNTIF('3. Module Tracker'!F4:F49,"N/A")</f>
        <v>0</v>
      </c>
    </row>
    <row r="7" customFormat="false" ht="15" hidden="false" customHeight="false" outlineLevel="0" collapsed="false">
      <c r="B7" s="5" t="s">
        <v>354</v>
      </c>
      <c r="C7" s="25" t="n">
        <f aca="false">COUNTIF('3. Module Tracker'!F4:F49,"In Progress")</f>
        <v>0</v>
      </c>
    </row>
    <row r="8" customFormat="false" ht="15" hidden="false" customHeight="false" outlineLevel="0" collapsed="false">
      <c r="B8" s="5" t="s">
        <v>120</v>
      </c>
      <c r="C8" s="25" t="n">
        <f aca="false">COUNTIF('3. Module Tracker'!F4:F49,"Not Started")</f>
        <v>46</v>
      </c>
    </row>
    <row r="9" customFormat="false" ht="15" hidden="false" customHeight="false" outlineLevel="0" collapsed="false">
      <c r="B9" s="5" t="s">
        <v>355</v>
      </c>
      <c r="C9" s="25" t="n">
        <f aca="false">COUNTIF('3. Module Tracker'!G4:G49,"BLOCKED")</f>
        <v>45</v>
      </c>
    </row>
    <row r="10" customFormat="false" ht="15" hidden="false" customHeight="false" outlineLevel="0" collapsed="false">
      <c r="B10" s="5" t="s">
        <v>356</v>
      </c>
      <c r="C10" s="26" t="n">
        <f aca="false">IF(C5=0,0,C6/C5)</f>
        <v>0</v>
      </c>
    </row>
    <row r="12" customFormat="false" ht="15" hidden="false" customHeight="false" outlineLevel="0" collapsed="false">
      <c r="B12" s="24" t="s">
        <v>357</v>
      </c>
      <c r="G12" s="24" t="s">
        <v>358</v>
      </c>
    </row>
    <row r="13" customFormat="false" ht="15" hidden="false" customHeight="false" outlineLevel="0" collapsed="false">
      <c r="B13" s="27" t="s">
        <v>105</v>
      </c>
      <c r="C13" s="27" t="s">
        <v>359</v>
      </c>
      <c r="D13" s="27" t="s">
        <v>353</v>
      </c>
      <c r="E13" s="27" t="s">
        <v>360</v>
      </c>
      <c r="G13" s="27" t="s">
        <v>104</v>
      </c>
      <c r="H13" s="27" t="s">
        <v>359</v>
      </c>
      <c r="I13" s="27" t="s">
        <v>353</v>
      </c>
      <c r="J13" s="27" t="s">
        <v>360</v>
      </c>
    </row>
    <row r="14" customFormat="false" ht="15" hidden="false" customHeight="false" outlineLevel="0" collapsed="false">
      <c r="B14" s="8" t="s">
        <v>117</v>
      </c>
      <c r="C14" s="12" t="n">
        <f aca="false">COUNTIF('3. Module Tracker'!C4:C49,$B14)</f>
        <v>11</v>
      </c>
      <c r="D14" s="12" t="n">
        <f aca="false">COUNTIFS('3. Module Tracker'!C4:C49,$B14,'3. Module Tracker'!F4:F49,"Done")+COUNTIFS('3. Module Tracker'!C4:C49,$B14,'3. Module Tracker'!F4:F49,"N/A")</f>
        <v>0</v>
      </c>
      <c r="E14" s="28" t="n">
        <f aca="false">IF(C14=0,0,D14/C14)</f>
        <v>0</v>
      </c>
      <c r="G14" s="8" t="n">
        <v>1</v>
      </c>
      <c r="H14" s="12" t="n">
        <f aca="false">COUNTIF('3. Module Tracker'!B4:B49,$G14)</f>
        <v>11</v>
      </c>
      <c r="I14" s="12" t="n">
        <f aca="false">COUNTIFS('3. Module Tracker'!B4:B49,$G14,'3. Module Tracker'!F4:F49,"Done")+COUNTIFS('3. Module Tracker'!B4:B49,$G14,'3. Module Tracker'!F4:F49,"N/A")</f>
        <v>0</v>
      </c>
      <c r="J14" s="28" t="n">
        <f aca="false">IF(H14=0,0,I14/H14)</f>
        <v>0</v>
      </c>
    </row>
    <row r="15" customFormat="false" ht="15" hidden="false" customHeight="false" outlineLevel="0" collapsed="false">
      <c r="B15" s="8" t="s">
        <v>145</v>
      </c>
      <c r="C15" s="12" t="n">
        <f aca="false">COUNTIF('3. Module Tracker'!C4:C49,$B15)</f>
        <v>2</v>
      </c>
      <c r="D15" s="12" t="n">
        <f aca="false">COUNTIFS('3. Module Tracker'!C4:C49,$B15,'3. Module Tracker'!F4:F49,"Done")+COUNTIFS('3. Module Tracker'!C4:C49,$B15,'3. Module Tracker'!F4:F49,"N/A")</f>
        <v>0</v>
      </c>
      <c r="E15" s="28" t="n">
        <f aca="false">IF(C15=0,0,D15/C15)</f>
        <v>0</v>
      </c>
      <c r="G15" s="8" t="n">
        <v>2</v>
      </c>
      <c r="H15" s="12" t="n">
        <f aca="false">COUNTIF('3. Module Tracker'!B4:B49,$G15)</f>
        <v>7</v>
      </c>
      <c r="I15" s="12" t="n">
        <f aca="false">COUNTIFS('3. Module Tracker'!B4:B49,$G15,'3. Module Tracker'!F4:F49,"Done")+COUNTIFS('3. Module Tracker'!B4:B49,$G15,'3. Module Tracker'!F4:F49,"N/A")</f>
        <v>0</v>
      </c>
      <c r="J15" s="28" t="n">
        <f aca="false">IF(H15=0,0,I15/H15)</f>
        <v>0</v>
      </c>
    </row>
    <row r="16" customFormat="false" ht="15" hidden="false" customHeight="false" outlineLevel="0" collapsed="false">
      <c r="B16" s="8" t="s">
        <v>151</v>
      </c>
      <c r="C16" s="12" t="n">
        <f aca="false">COUNTIF('3. Module Tracker'!C4:C49,$B16)</f>
        <v>7</v>
      </c>
      <c r="D16" s="12" t="n">
        <f aca="false">COUNTIFS('3. Module Tracker'!C4:C49,$B16,'3. Module Tracker'!F4:F49,"Done")+COUNTIFS('3. Module Tracker'!C4:C49,$B16,'3. Module Tracker'!F4:F49,"N/A")</f>
        <v>0</v>
      </c>
      <c r="E16" s="28" t="n">
        <f aca="false">IF(C16=0,0,D16/C16)</f>
        <v>0</v>
      </c>
      <c r="G16" s="8" t="n">
        <v>3</v>
      </c>
      <c r="H16" s="12" t="n">
        <f aca="false">COUNTIF('3. Module Tracker'!B4:B49,$G16)</f>
        <v>9</v>
      </c>
      <c r="I16" s="12" t="n">
        <f aca="false">COUNTIFS('3. Module Tracker'!B4:B49,$G16,'3. Module Tracker'!F4:F49,"Done")+COUNTIFS('3. Module Tracker'!B4:B49,$G16,'3. Module Tracker'!F4:F49,"N/A")</f>
        <v>0</v>
      </c>
      <c r="J16" s="28" t="n">
        <f aca="false">IF(H16=0,0,I16/H16)</f>
        <v>0</v>
      </c>
    </row>
    <row r="17" customFormat="false" ht="15" hidden="false" customHeight="false" outlineLevel="0" collapsed="false">
      <c r="B17" s="8" t="s">
        <v>158</v>
      </c>
      <c r="C17" s="12" t="n">
        <f aca="false">COUNTIF('3. Module Tracker'!C4:C49,$B17)</f>
        <v>7</v>
      </c>
      <c r="D17" s="12" t="n">
        <f aca="false">COUNTIFS('3. Module Tracker'!C4:C49,$B17,'3. Module Tracker'!F4:F49,"Done")+COUNTIFS('3. Module Tracker'!C4:C49,$B17,'3. Module Tracker'!F4:F49,"N/A")</f>
        <v>0</v>
      </c>
      <c r="E17" s="28" t="n">
        <f aca="false">IF(C17=0,0,D17/C17)</f>
        <v>0</v>
      </c>
      <c r="G17" s="8" t="n">
        <v>4</v>
      </c>
      <c r="H17" s="12" t="n">
        <f aca="false">COUNTIF('3. Module Tracker'!B4:B49,$G17)</f>
        <v>10</v>
      </c>
      <c r="I17" s="12" t="n">
        <f aca="false">COUNTIFS('3. Module Tracker'!B4:B49,$G17,'3. Module Tracker'!F4:F49,"Done")+COUNTIFS('3. Module Tracker'!B4:B49,$G17,'3. Module Tracker'!F4:F49,"N/A")</f>
        <v>0</v>
      </c>
      <c r="J17" s="28" t="n">
        <f aca="false">IF(H17=0,0,I17/H17)</f>
        <v>0</v>
      </c>
    </row>
    <row r="18" customFormat="false" ht="15" hidden="false" customHeight="false" outlineLevel="0" collapsed="false">
      <c r="B18" s="8" t="s">
        <v>219</v>
      </c>
      <c r="C18" s="12" t="n">
        <f aca="false">COUNTIF('3. Module Tracker'!C4:C49,$B18)</f>
        <v>2</v>
      </c>
      <c r="D18" s="12" t="n">
        <f aca="false">COUNTIFS('3. Module Tracker'!C4:C49,$B18,'3. Module Tracker'!F4:F49,"Done")+COUNTIFS('3. Module Tracker'!C4:C49,$B18,'3. Module Tracker'!F4:F49,"N/A")</f>
        <v>0</v>
      </c>
      <c r="E18" s="28" t="n">
        <f aca="false">IF(C18=0,0,D18/C18)</f>
        <v>0</v>
      </c>
      <c r="G18" s="8" t="n">
        <v>5</v>
      </c>
      <c r="H18" s="12" t="n">
        <f aca="false">COUNTIF('3. Module Tracker'!B4:B49,$G18)</f>
        <v>7</v>
      </c>
      <c r="I18" s="12" t="n">
        <f aca="false">COUNTIFS('3. Module Tracker'!B4:B49,$G18,'3. Module Tracker'!F4:F49,"Done")+COUNTIFS('3. Module Tracker'!B4:B49,$G18,'3. Module Tracker'!F4:F49,"N/A")</f>
        <v>0</v>
      </c>
      <c r="J18" s="28" t="n">
        <f aca="false">IF(H18=0,0,I18/H18)</f>
        <v>0</v>
      </c>
    </row>
    <row r="19" customFormat="false" ht="15" hidden="false" customHeight="false" outlineLevel="0" collapsed="false">
      <c r="B19" s="8" t="s">
        <v>165</v>
      </c>
      <c r="C19" s="12" t="n">
        <f aca="false">COUNTIF('3. Module Tracker'!C4:C49,$B19)</f>
        <v>5</v>
      </c>
      <c r="D19" s="12" t="n">
        <f aca="false">COUNTIFS('3. Module Tracker'!C4:C49,$B19,'3. Module Tracker'!F4:F49,"Done")+COUNTIFS('3. Module Tracker'!C4:C49,$B19,'3. Module Tracker'!F4:F49,"N/A")</f>
        <v>0</v>
      </c>
      <c r="E19" s="28" t="n">
        <f aca="false">IF(C19=0,0,D19/C19)</f>
        <v>0</v>
      </c>
      <c r="G19" s="8" t="n">
        <v>6</v>
      </c>
      <c r="H19" s="12" t="n">
        <f aca="false">COUNTIF('3. Module Tracker'!B4:B49,$G19)</f>
        <v>2</v>
      </c>
      <c r="I19" s="12" t="n">
        <f aca="false">COUNTIFS('3. Module Tracker'!B4:B49,$G19,'3. Module Tracker'!F4:F49,"Done")+COUNTIFS('3. Module Tracker'!B4:B49,$G19,'3. Module Tracker'!F4:F49,"N/A")</f>
        <v>0</v>
      </c>
      <c r="J19" s="28" t="n">
        <f aca="false">IF(H19=0,0,I19/H19)</f>
        <v>0</v>
      </c>
    </row>
    <row r="20" customFormat="false" ht="15" hidden="false" customHeight="false" outlineLevel="0" collapsed="false">
      <c r="B20" s="8" t="s">
        <v>187</v>
      </c>
      <c r="C20" s="12" t="n">
        <f aca="false">COUNTIF('3. Module Tracker'!C4:C49,$B20)</f>
        <v>6</v>
      </c>
      <c r="D20" s="12" t="n">
        <f aca="false">COUNTIFS('3. Module Tracker'!C4:C49,$B20,'3. Module Tracker'!F4:F49,"Done")+COUNTIFS('3. Module Tracker'!C4:C49,$B20,'3. Module Tracker'!F4:F49,"N/A")</f>
        <v>0</v>
      </c>
      <c r="E20" s="28" t="n">
        <f aca="false">IF(C20=0,0,D20/C20)</f>
        <v>0</v>
      </c>
    </row>
    <row r="21" customFormat="false" ht="15" hidden="false" customHeight="false" outlineLevel="0" collapsed="false">
      <c r="B21" s="8" t="s">
        <v>228</v>
      </c>
      <c r="C21" s="12" t="n">
        <f aca="false">COUNTIF('3. Module Tracker'!C4:C49,$B21)</f>
        <v>1</v>
      </c>
      <c r="D21" s="12" t="n">
        <f aca="false">COUNTIFS('3. Module Tracker'!C4:C49,$B21,'3. Module Tracker'!F4:F49,"Done")+COUNTIFS('3. Module Tracker'!C4:C49,$B21,'3. Module Tracker'!F4:F49,"N/A")</f>
        <v>0</v>
      </c>
      <c r="E21" s="28" t="n">
        <f aca="false">IF(C21=0,0,D21/C21)</f>
        <v>0</v>
      </c>
    </row>
    <row r="22" customFormat="false" ht="15" hidden="false" customHeight="false" outlineLevel="0" collapsed="false">
      <c r="B22" s="8" t="s">
        <v>232</v>
      </c>
      <c r="C22" s="12" t="n">
        <f aca="false">COUNTIF('3. Module Tracker'!C4:C49,$B22)</f>
        <v>1</v>
      </c>
      <c r="D22" s="12" t="n">
        <f aca="false">COUNTIFS('3. Module Tracker'!C4:C49,$B22,'3. Module Tracker'!F4:F49,"Done")+COUNTIFS('3. Module Tracker'!C4:C49,$B22,'3. Module Tracker'!F4:F49,"N/A")</f>
        <v>0</v>
      </c>
      <c r="E22" s="28" t="n">
        <f aca="false">IF(C22=0,0,D22/C22)</f>
        <v>0</v>
      </c>
    </row>
    <row r="23" customFormat="false" ht="15" hidden="false" customHeight="false" outlineLevel="0" collapsed="false">
      <c r="B23" s="8" t="s">
        <v>236</v>
      </c>
      <c r="C23" s="12" t="n">
        <f aca="false">COUNTIF('3. Module Tracker'!C4:C49,$B23)</f>
        <v>1</v>
      </c>
      <c r="D23" s="12" t="n">
        <f aca="false">COUNTIFS('3. Module Tracker'!C4:C49,$B23,'3. Module Tracker'!F4:F49,"Done")+COUNTIFS('3. Module Tracker'!C4:C49,$B23,'3. Module Tracker'!F4:F49,"N/A")</f>
        <v>0</v>
      </c>
      <c r="E23" s="28" t="n">
        <f aca="false">IF(C23=0,0,D23/C23)</f>
        <v>0</v>
      </c>
    </row>
    <row r="24" customFormat="false" ht="15" hidden="false" customHeight="false" outlineLevel="0" collapsed="false">
      <c r="B24" s="8" t="s">
        <v>240</v>
      </c>
      <c r="C24" s="12" t="n">
        <f aca="false">COUNTIF('3. Module Tracker'!C4:C49,$B24)</f>
        <v>3</v>
      </c>
      <c r="D24" s="12" t="n">
        <f aca="false">COUNTIFS('3. Module Tracker'!C4:C49,$B24,'3. Module Tracker'!F4:F49,"Done")+COUNTIFS('3. Module Tracker'!C4:C49,$B24,'3. Module Tracker'!F4:F49,"N/A")</f>
        <v>0</v>
      </c>
      <c r="E24" s="28" t="n">
        <f aca="false">IF(C24=0,0,D24/C24)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2026-06-23T15:55:15Z</dcterms:created>
  <dc:creator>openpyxl</dc:creator>
  <dc:description/>
  <dc:language>en-US</dc:language>
  <cp:lastModifiedBy/>
  <dcterms:modified xsi:type="dcterms:W3CDTF">2026-06-23T15:55:15Z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